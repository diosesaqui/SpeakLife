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Tracker" sheetId="1" state="visible" r:id="rId1"/>
    <sheet name="Angles" sheetId="2" state="visible" r:id="rId2"/>
    <sheet name="Formulas" sheetId="3" state="visible" r:id="rId3"/>
    <sheet name="Formats" sheetId="4" state="visible" r:id="rId4"/>
    <sheet name="Hooks Bank" sheetId="5" state="visible" r:id="rId5"/>
    <sheet name="Settings" sheetId="6" state="visible" r:id="rId6"/>
    <sheet name="Lists" sheetId="7" state="visible" r:id="rId7"/>
  </sheets>
  <definedNames>
    <definedName name="_xlnm._FilterDatabase" localSheetId="0" hidden="1">'Ad Tracker'!$A$1:$AA$300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x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6" fontId="4" fillId="3" borderId="0" pivotButton="0" quotePrefix="0" xfId="0"/>
    <xf numFmtId="167" fontId="4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4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6" fontId="4" fillId="3" borderId="0" pivotButton="0" quotePrefix="0" xfId="0"/>
    <xf numFmtId="167" fontId="4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EFD0"/>
        </patternFill>
      </fill>
    </dxf>
    <dxf>
      <fill>
        <patternFill patternType="solid">
          <fgColor rgb="00FFE4B3"/>
        </patternFill>
      </fill>
    </dxf>
    <dxf>
      <fill>
        <patternFill patternType="solid">
          <fgColor rgb="00F7C6C6"/>
        </patternFill>
      </fill>
    </dxf>
    <dxf>
      <fill>
        <patternFill patternType="solid">
          <fgColor rgb="00E6E8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V1" authorId="0" shapeId="0">
      <text>
        <t>Spend / Trials. Trials = Meta start_trial_mobile_app (results).</t>
      </text>
    </comment>
    <comment ref="Y1" authorId="0" shapeId="0">
      <text>
        <t>Testing until spend &gt;= target x min-spend multiple (Settings). Then Winner / Watch / Kill vs target CPT.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26" customWidth="1" min="4" max="4"/>
    <col width="9" customWidth="1" min="5" max="5"/>
    <col width="22" customWidth="1" min="6" max="6"/>
    <col width="22" customWidth="1" min="7" max="7"/>
    <col width="10" customWidth="1" min="8" max="8"/>
    <col width="12" customWidth="1" min="9" max="9"/>
    <col width="9" customWidth="1" min="10" max="10"/>
    <col width="18" customWidth="1" min="11" max="11"/>
    <col width="22" customWidth="1" min="12" max="12"/>
    <col width="40" customWidth="1" min="13" max="13"/>
    <col width="50" customWidth="1" min="14" max="14"/>
    <col width="26" customWidth="1" min="15" max="15"/>
    <col width="9" customWidth="1" min="16" max="16"/>
    <col width="16" customWidth="1" min="17" max="17"/>
    <col width="10" customWidth="1" min="18" max="18"/>
    <col width="9" customWidth="1" min="19" max="19"/>
    <col width="8" customWidth="1" min="20" max="20"/>
    <col width="7" customWidth="1" min="21" max="21"/>
    <col width="11" customWidth="1" min="22" max="22"/>
    <col width="11" customWidth="1" min="23" max="23"/>
    <col width="10" customWidth="1" min="24" max="24"/>
    <col width="9" customWidth="1" min="25" max="25"/>
    <col width="50" customWidth="1" min="26" max="26"/>
    <col width="30" customWidth="1" min="27" max="27"/>
  </cols>
  <sheetData>
    <row r="1" ht="32" customHeight="1">
      <c r="A1" s="1" t="inlineStr">
        <is>
          <t>Ad ID</t>
        </is>
      </c>
      <c r="B1" s="1" t="inlineStr">
        <is>
          <t>Ad name</t>
        </is>
      </c>
      <c r="C1" s="1" t="inlineStr">
        <is>
          <t>Launched</t>
        </is>
      </c>
      <c r="D1" s="1" t="inlineStr">
        <is>
          <t>Campaign / ad set</t>
        </is>
      </c>
      <c r="E1" s="1" t="inlineStr">
        <is>
          <t>Status</t>
        </is>
      </c>
      <c r="F1" s="1" t="inlineStr">
        <is>
          <t>Angle</t>
        </is>
      </c>
      <c r="G1" s="1" t="inlineStr">
        <is>
          <t>Persona</t>
        </is>
      </c>
      <c r="H1" s="1" t="inlineStr">
        <is>
          <t>ob= code</t>
        </is>
      </c>
      <c r="I1" s="1" t="inlineStr">
        <is>
          <t>Onboarding frame</t>
        </is>
      </c>
      <c r="J1" s="1" t="inlineStr">
        <is>
          <t>Serve / Sell</t>
        </is>
      </c>
      <c r="K1" s="1" t="inlineStr">
        <is>
          <t>Formula</t>
        </is>
      </c>
      <c r="L1" s="1" t="inlineStr">
        <is>
          <t>Format</t>
        </is>
      </c>
      <c r="M1" s="1" t="inlineStr">
        <is>
          <t>Hook (first line)</t>
        </is>
      </c>
      <c r="N1" s="1" t="inlineStr">
        <is>
          <t>Primary text</t>
        </is>
      </c>
      <c r="O1" s="1" t="inlineStr">
        <is>
          <t>Headline</t>
        </is>
      </c>
      <c r="P1" s="1" t="inlineStr">
        <is>
          <t>CTA</t>
        </is>
      </c>
      <c r="Q1" s="1" t="inlineStr">
        <is>
          <t>Verse</t>
        </is>
      </c>
      <c r="R1" s="1" t="inlineStr">
        <is>
          <t>Spend ($)</t>
        </is>
      </c>
      <c r="S1" s="1" t="inlineStr">
        <is>
          <t>Installs</t>
        </is>
      </c>
      <c r="T1" s="1" t="inlineStr">
        <is>
          <t>Trials</t>
        </is>
      </c>
      <c r="U1" s="1" t="inlineStr">
        <is>
          <t>CTR</t>
        </is>
      </c>
      <c r="V1" s="1" t="inlineStr">
        <is>
          <t>Cost per trial</t>
        </is>
      </c>
      <c r="W1" s="1" t="inlineStr">
        <is>
          <t>Cost per install</t>
        </is>
      </c>
      <c r="X1" s="1" t="inlineStr">
        <is>
          <t>Install to trial</t>
        </is>
      </c>
      <c r="Y1" s="1" t="inlineStr">
        <is>
          <t>Verdict</t>
        </is>
      </c>
      <c r="Z1" s="1" t="inlineStr">
        <is>
          <t>Why it won / lost (lesson)</t>
        </is>
      </c>
      <c r="AA1" s="1" t="inlineStr">
        <is>
          <t>Next action</t>
        </is>
      </c>
    </row>
    <row r="2">
      <c r="A2" s="2" t="inlineStr">
        <is>
          <t>120247236178540227</t>
        </is>
      </c>
      <c r="B2" s="2" t="inlineStr">
        <is>
          <t>you cant fight a thought silently</t>
        </is>
      </c>
      <c r="C2" s="2" t="inlineStr">
        <is>
          <t>2026-10-01</t>
        </is>
      </c>
      <c r="D2" s="2" t="inlineStr">
        <is>
          <t>SL Scale | Mind winners / women 25-65</t>
        </is>
      </c>
      <c r="E2" s="2" t="inlineStr">
        <is>
          <t>Live</t>
        </is>
      </c>
      <c r="F2" s="2" t="inlineStr">
        <is>
          <t>Mind / thoughts (renewal)</t>
        </is>
      </c>
      <c r="G2" s="2" t="inlineStr">
        <is>
          <t>3am overthinker</t>
        </is>
      </c>
      <c r="H2" s="2" t="inlineStr">
        <is>
          <t>renewal</t>
        </is>
      </c>
      <c r="I2" s="2" t="inlineStr">
        <is>
          <t>n/a</t>
        </is>
      </c>
      <c r="J2" s="2" t="inlineStr">
        <is>
          <t>Serve</t>
        </is>
      </c>
      <c r="K2" s="2" t="inlineStr">
        <is>
          <t>#3 Straight Shot</t>
        </is>
      </c>
      <c r="L2" s="2" t="inlineStr">
        <is>
          <t>Native slideshow (carousel)</t>
        </is>
      </c>
      <c r="M2" s="2" t="inlineStr">
        <is>
          <t>you can't fight a thought silently and win. step 2 is the whole key. save this.</t>
        </is>
      </c>
      <c r="N2" s="2" t="inlineStr">
        <is>
          <t>(same as hook) + #christiantiktok #jesus #anxietyrelief #scripture #fyp</t>
        </is>
      </c>
      <c r="O2" s="2" t="inlineStr">
        <is>
          <t>SpeakLife: Bible Affirmations App</t>
        </is>
      </c>
      <c r="P2" s="2" t="inlineStr">
        <is>
          <t>Download</t>
        </is>
      </c>
      <c r="Q2" s="2" t="inlineStr"/>
      <c r="R2" s="22" t="n">
        <v>0</v>
      </c>
      <c r="S2" s="4" t="n">
        <v>0</v>
      </c>
      <c r="T2" s="4" t="n">
        <v>0</v>
      </c>
      <c r="U2" s="5" t="n"/>
      <c r="V2" s="23">
        <f>IF(AND(ISNUMBER(T2),T2&gt;0),R2/T2,"")</f>
        <v/>
      </c>
      <c r="W2" s="23">
        <f>IF(AND(ISNUMBER(S2),S2&gt;0),R2/S2,"")</f>
        <v/>
      </c>
      <c r="X2" s="24">
        <f>IF(AND(ISNUMBER(S2),S2&gt;0,ISNUMBER(T2)),T2/S2,"")</f>
        <v/>
      </c>
      <c r="Y2" s="8">
        <f>IF(A2="","",IF(N(R2)&lt;Settings!$B$4*Settings!$B$6,"Testing",IF(N(T2)=0,"Kill",IF(V2&lt;=Settings!$B$4,"Winner",IF(V2&lt;=Settings!$B$4*Settings!$B$5,"Watch","Kill")))))</f>
        <v/>
      </c>
      <c r="Z2" s="2" t="inlineStr">
        <is>
          <t>Original post loaded by post ID (keeps likes/comments). History: $24 per trial in the old ad set.</t>
        </is>
      </c>
      <c r="AA2" s="2" t="inlineStr">
        <is>
          <t>Judge at day 7</t>
        </is>
      </c>
    </row>
    <row r="3">
      <c r="A3" s="2" t="inlineStr">
        <is>
          <t>120247236178300227</t>
        </is>
      </c>
      <c r="B3" s="2" t="inlineStr">
        <is>
          <t>5 ways to renew</t>
        </is>
      </c>
      <c r="C3" s="2" t="inlineStr">
        <is>
          <t>2026-10-01</t>
        </is>
      </c>
      <c r="D3" s="2" t="inlineStr">
        <is>
          <t>SL Scale | Mind winners / women 25-65</t>
        </is>
      </c>
      <c r="E3" s="2" t="inlineStr">
        <is>
          <t>Live</t>
        </is>
      </c>
      <c r="F3" s="2" t="inlineStr">
        <is>
          <t>Mind / thoughts (renewal)</t>
        </is>
      </c>
      <c r="G3" s="2" t="inlineStr">
        <is>
          <t>Wants real steps</t>
        </is>
      </c>
      <c r="H3" s="2" t="inlineStr">
        <is>
          <t>renewal</t>
        </is>
      </c>
      <c r="I3" s="2" t="inlineStr">
        <is>
          <t>n/a</t>
        </is>
      </c>
      <c r="J3" s="2" t="inlineStr">
        <is>
          <t>Serve</t>
        </is>
      </c>
      <c r="K3" s="2" t="inlineStr">
        <is>
          <t>#10 The Menu</t>
        </is>
      </c>
      <c r="L3" s="2" t="inlineStr">
        <is>
          <t>Native slideshow (carousel)</t>
        </is>
      </c>
      <c r="M3" s="2" t="inlineStr">
        <is>
          <t>renewing the mind sounds vague until you have real steps. number 3 rewired me.</t>
        </is>
      </c>
      <c r="N3" s="2" t="inlineStr">
        <is>
          <t>(same as hook) what's your number 1? + #christiantiktok #jesus #renewyourmind #mindset #fyp</t>
        </is>
      </c>
      <c r="O3" s="2" t="inlineStr">
        <is>
          <t>SpeakLife: Bible Affirmations App</t>
        </is>
      </c>
      <c r="P3" s="2" t="inlineStr">
        <is>
          <t>Download</t>
        </is>
      </c>
      <c r="Q3" s="2" t="inlineStr"/>
      <c r="R3" s="22" t="n">
        <v>0</v>
      </c>
      <c r="S3" s="4" t="n">
        <v>0</v>
      </c>
      <c r="T3" s="4" t="n">
        <v>0</v>
      </c>
      <c r="U3" s="5" t="n"/>
      <c r="V3" s="23">
        <f>IF(AND(ISNUMBER(T3),T3&gt;0),R3/T3,"")</f>
        <v/>
      </c>
      <c r="W3" s="23">
        <f>IF(AND(ISNUMBER(S3),S3&gt;0),R3/S3,"")</f>
        <v/>
      </c>
      <c r="X3" s="24">
        <f>IF(AND(ISNUMBER(S3),S3&gt;0,ISNUMBER(T3)),T3/S3,"")</f>
        <v/>
      </c>
      <c r="Y3" s="8">
        <f>IF(A3="","",IF(N(R3)&lt;Settings!$B$4*Settings!$B$6,"Testing",IF(N(T3)=0,"Kill",IF(V3&lt;=Settings!$B$4,"Winner",IF(V3&lt;=Settings!$B$4*Settings!$B$5,"Watch","Kill")))))</f>
        <v/>
      </c>
      <c r="Z3" s="2" t="inlineStr">
        <is>
          <t>Original post loaded by post ID. History: $24 per trial in the old ad set.</t>
        </is>
      </c>
      <c r="AA3" s="2" t="inlineStr">
        <is>
          <t>Judge at day 7</t>
        </is>
      </c>
    </row>
    <row r="4">
      <c r="A4" s="2" t="inlineStr">
        <is>
          <t>120247236460450227</t>
        </is>
      </c>
      <c r="B4" s="2" t="inlineStr">
        <is>
          <t>V1-video-cantfight-L-renewal</t>
        </is>
      </c>
      <c r="C4" s="2" t="inlineStr">
        <is>
          <t>2026-10-01</t>
        </is>
      </c>
      <c r="D4" s="2" t="inlineStr">
        <is>
          <t>SL Scale | Mind winners / women 25-65</t>
        </is>
      </c>
      <c r="E4" s="2" t="inlineStr">
        <is>
          <t>Paused</t>
        </is>
      </c>
      <c r="F4" s="2" t="inlineStr">
        <is>
          <t>Mind / thoughts (renewal)</t>
        </is>
      </c>
      <c r="G4" s="2" t="inlineStr">
        <is>
          <t>Woman 50s, 3am thoughts</t>
        </is>
      </c>
      <c r="H4" s="2" t="inlineStr">
        <is>
          <t>renewal</t>
        </is>
      </c>
      <c r="I4" s="2" t="inlineStr">
        <is>
          <t>Promises</t>
        </is>
      </c>
      <c r="J4" s="2" t="inlineStr">
        <is>
          <t>Serve</t>
        </is>
      </c>
      <c r="K4" s="2" t="inlineStr">
        <is>
          <t>#3 Straight Shot</t>
        </is>
      </c>
      <c r="L4" s="2" t="inlineStr">
        <is>
          <t>Video: b-roll + VO</t>
        </is>
      </c>
      <c r="M4" s="2" t="inlineStr">
        <is>
          <t>you can't fight a thought silently and win.</t>
        </is>
      </c>
      <c r="N4" s="2" t="inlineStr">
        <is>
          <t>you can't fight a thought silently and win. step 2 is the key. save this for a 3am morning.
1. name it. that's fear talking, not God.
2. find what God says about it.
3. say it out loud. Isaiah 26:3
do it again in the morning. your mind follows your mouth.
want a verse ready for every 3am thought? that's what SpeakLife does</t>
        </is>
      </c>
      <c r="O4" s="2" t="inlineStr">
        <is>
          <t>A verse for every 3am thought</t>
        </is>
      </c>
      <c r="P4" s="2" t="inlineStr">
        <is>
          <t>Download</t>
        </is>
      </c>
      <c r="Q4" s="2" t="inlineStr">
        <is>
          <t>Isaiah 26:3</t>
        </is>
      </c>
      <c r="R4" s="22" t="n">
        <v>0</v>
      </c>
      <c r="S4" s="4" t="n">
        <v>0</v>
      </c>
      <c r="T4" s="4" t="n">
        <v>0</v>
      </c>
      <c r="U4" s="5" t="n"/>
      <c r="V4" s="23">
        <f>IF(AND(ISNUMBER(T4),T4&gt;0),R4/T4,"")</f>
        <v/>
      </c>
      <c r="W4" s="23">
        <f>IF(AND(ISNUMBER(S4),S4&gt;0),R4/S4,"")</f>
        <v/>
      </c>
      <c r="X4" s="24">
        <f>IF(AND(ISNUMBER(S4),S4&gt;0,ISNUMBER(T4)),T4/S4,"")</f>
        <v/>
      </c>
      <c r="Y4" s="8">
        <f>IF(A4="","",IF(N(R4)&lt;Settings!$B$4*Settings!$B$6,"Testing",IF(N(T4)=0,"Kill",IF(V4&lt;=Settings!$B$4,"Winner",IF(V4&lt;=Settings!$B$4*Settings!$B$5,"Watch","Kill")))))</f>
        <v/>
      </c>
      <c r="Z4" s="2" t="inlineStr">
        <is>
          <t>Video version of the carousel winner. Tests video vs carousel on the same idea.</t>
        </is>
      </c>
      <c r="AA4" s="2" t="inlineStr">
        <is>
          <t>Turn on; judge at day 7</t>
        </is>
      </c>
    </row>
    <row r="5">
      <c r="A5" s="2" t="inlineStr">
        <is>
          <t>120247236665610227</t>
        </is>
      </c>
      <c r="B5" s="2" t="inlineStr">
        <is>
          <t>V2-video-5ways-L-renewal</t>
        </is>
      </c>
      <c r="C5" s="2" t="inlineStr">
        <is>
          <t>2026-10-01</t>
        </is>
      </c>
      <c r="D5" s="2" t="inlineStr">
        <is>
          <t>SL Scale | Mind winners / women 25-65</t>
        </is>
      </c>
      <c r="E5" s="2" t="inlineStr">
        <is>
          <t>Paused</t>
        </is>
      </c>
      <c r="F5" s="2" t="inlineStr">
        <is>
          <t>Mind / thoughts (renewal)</t>
        </is>
      </c>
      <c r="G5" s="2" t="inlineStr">
        <is>
          <t>Woman 50s, daily habit</t>
        </is>
      </c>
      <c r="H5" s="2" t="inlineStr">
        <is>
          <t>renewal</t>
        </is>
      </c>
      <c r="I5" s="2" t="inlineStr">
        <is>
          <t>Promises</t>
        </is>
      </c>
      <c r="J5" s="2" t="inlineStr">
        <is>
          <t>Serve</t>
        </is>
      </c>
      <c r="K5" s="2" t="inlineStr">
        <is>
          <t>#10 The Menu</t>
        </is>
      </c>
      <c r="L5" s="2" t="inlineStr">
        <is>
          <t>Video: b-roll + VO</t>
        </is>
      </c>
      <c r="M5" s="2" t="inlineStr">
        <is>
          <t>renewing your mind sounds vague until you have real steps.</t>
        </is>
      </c>
      <c r="N5" s="2" t="inlineStr">
        <is>
          <t>renewing your mind sounds vague until you have real steps. step 4 is where it changes. save this.
1. hear His voice first
2. pick one verse for the day
3. put it where you'll see it
4. say it out loud. 1 Cor 2:16
5. say it through the day, and again before bed.
want a verse ready every morning? that's what SpeakLife does</t>
        </is>
      </c>
      <c r="O5" s="2" t="inlineStr">
        <is>
          <t>Renew your mind in 5 steps</t>
        </is>
      </c>
      <c r="P5" s="2" t="inlineStr">
        <is>
          <t>Download</t>
        </is>
      </c>
      <c r="Q5" s="2" t="inlineStr">
        <is>
          <t>1 Corinthians 2:16</t>
        </is>
      </c>
      <c r="R5" s="22" t="n">
        <v>0</v>
      </c>
      <c r="S5" s="4" t="n">
        <v>0</v>
      </c>
      <c r="T5" s="4" t="n">
        <v>0</v>
      </c>
      <c r="U5" s="5" t="n"/>
      <c r="V5" s="23">
        <f>IF(AND(ISNUMBER(T5),T5&gt;0),R5/T5,"")</f>
        <v/>
      </c>
      <c r="W5" s="23">
        <f>IF(AND(ISNUMBER(S5),S5&gt;0),R5/S5,"")</f>
        <v/>
      </c>
      <c r="X5" s="24">
        <f>IF(AND(ISNUMBER(S5),S5&gt;0,ISNUMBER(T5)),T5/S5,"")</f>
        <v/>
      </c>
      <c r="Y5" s="8">
        <f>IF(A5="","",IF(N(R5)&lt;Settings!$B$4*Settings!$B$6,"Testing",IF(N(T5)=0,"Kill",IF(V5&lt;=Settings!$B$4,"Winner",IF(V5&lt;=Settings!$B$4*Settings!$B$5,"Watch","Kill")))))</f>
        <v/>
      </c>
      <c r="Z5" s="2" t="inlineStr">
        <is>
          <t>Video version of the '5 ways' carousel; real app screen shown at step 5.</t>
        </is>
      </c>
      <c r="AA5" s="2" t="inlineStr">
        <is>
          <t>Turn on; judge at day 7</t>
        </is>
      </c>
    </row>
    <row r="6">
      <c r="A6" s="2" t="inlineStr">
        <is>
          <t>pending</t>
        </is>
      </c>
      <c r="B6" s="2" t="inlineStr">
        <is>
          <t>F2-thirddoor-3am-L-renewal</t>
        </is>
      </c>
      <c r="C6" s="2" t="inlineStr">
        <is>
          <t>2026-10-05</t>
        </is>
      </c>
      <c r="D6" s="2" t="inlineStr">
        <is>
          <t>SL Test | Persona x Formula / R1 Formula sweep A</t>
        </is>
      </c>
      <c r="E6" s="2" t="inlineStr">
        <is>
          <t>Draft</t>
        </is>
      </c>
      <c r="F6" s="2" t="inlineStr">
        <is>
          <t>Mind / thoughts (renewal)</t>
        </is>
      </c>
      <c r="G6" s="2" t="inlineStr">
        <is>
          <t>Night overthinker (3am)</t>
        </is>
      </c>
      <c r="H6" s="2" t="inlineStr">
        <is>
          <t>renewal</t>
        </is>
      </c>
      <c r="I6" s="2" t="inlineStr">
        <is>
          <t>Promises</t>
        </is>
      </c>
      <c r="J6" s="2" t="inlineStr">
        <is>
          <t>Serve</t>
        </is>
      </c>
      <c r="K6" s="2" t="inlineStr">
        <is>
          <t>#2 Third Door</t>
        </is>
      </c>
      <c r="L6" s="2" t="inlineStr">
        <is>
          <t>Native slideshow (carousel)</t>
        </is>
      </c>
      <c r="M6" s="2" t="inlineStr">
        <is>
          <t>what do you do with a thought that won't leave at 3am?</t>
        </is>
      </c>
      <c r="N6" s="2" t="n"/>
      <c r="O6" s="2" t="inlineStr">
        <is>
          <t>Speak to the 3am thought</t>
        </is>
      </c>
      <c r="P6" s="2" t="inlineStr">
        <is>
          <t>Download</t>
        </is>
      </c>
      <c r="Q6" s="2" t="inlineStr">
        <is>
          <t>Isaiah 26:3</t>
        </is>
      </c>
      <c r="R6" s="22" t="n">
        <v>0</v>
      </c>
      <c r="S6" s="4" t="n">
        <v>0</v>
      </c>
      <c r="T6" s="4" t="n">
        <v>0</v>
      </c>
      <c r="U6" s="10" t="n"/>
      <c r="V6" s="23">
        <f>IF(AND(ISNUMBER(T6),T6&gt;0),R6/T6,"")</f>
        <v/>
      </c>
      <c r="W6" s="23">
        <f>IF(AND(ISNUMBER(S6),S6&gt;0),R6/S6,"")</f>
        <v/>
      </c>
      <c r="X6" s="24">
        <f>IF(AND(ISNUMBER(S6),S6&gt;0,ISNUMBER(T6)),T6/S6,"")</f>
        <v/>
      </c>
      <c r="Y6" s="8">
        <f>IF(A6="","",IF(N(R6)&lt;Settings!$B$4*Settings!$B$6,"Testing",IF(N(T6)=0,"Kill",IF(V6&lt;=Settings!$B$4,"Winner",IF(V6&lt;=Settings!$B$4*Settings!$B$5,"Watch","Kill")))))</f>
        <v/>
      </c>
      <c r="Z6" s="2" t="n"/>
      <c r="AA6" s="2" t="inlineStr">
        <is>
          <t>Upload + launch in R1 ad set</t>
        </is>
      </c>
    </row>
    <row r="7">
      <c r="A7" s="2" t="inlineStr">
        <is>
          <t>pending</t>
        </is>
      </c>
      <c r="B7" s="2" t="inlineStr">
        <is>
          <t>F4-confession-3am-L-renewal</t>
        </is>
      </c>
      <c r="C7" s="2" t="inlineStr">
        <is>
          <t>2026-10-05</t>
        </is>
      </c>
      <c r="D7" s="2" t="inlineStr">
        <is>
          <t>SL Test | Persona x Formula / R1 Formula sweep A</t>
        </is>
      </c>
      <c r="E7" s="2" t="inlineStr">
        <is>
          <t>Draft</t>
        </is>
      </c>
      <c r="F7" s="2" t="inlineStr">
        <is>
          <t>Mind / thoughts (renewal)</t>
        </is>
      </c>
      <c r="G7" s="2" t="inlineStr">
        <is>
          <t>Night overthinker (all day)</t>
        </is>
      </c>
      <c r="H7" s="2" t="inlineStr">
        <is>
          <t>renewal</t>
        </is>
      </c>
      <c r="I7" s="2" t="inlineStr">
        <is>
          <t>Promises</t>
        </is>
      </c>
      <c r="J7" s="2" t="inlineStr">
        <is>
          <t>Sell</t>
        </is>
      </c>
      <c r="K7" s="2" t="inlineStr">
        <is>
          <t>#4 Confession</t>
        </is>
      </c>
      <c r="L7" s="2" t="inlineStr">
        <is>
          <t>Static + long copy</t>
        </is>
      </c>
      <c r="M7" s="2" t="inlineStr">
        <is>
          <t>Is it really "giving it to God" if I'm still thinking about the problem?</t>
        </is>
      </c>
      <c r="N7" s="2" t="n"/>
      <c r="O7" s="2" t="inlineStr">
        <is>
          <t>I built this for the overthinking</t>
        </is>
      </c>
      <c r="P7" s="2" t="inlineStr">
        <is>
          <t>Download</t>
        </is>
      </c>
      <c r="Q7" s="2" t="inlineStr"/>
      <c r="R7" s="22" t="n">
        <v>0</v>
      </c>
      <c r="S7" s="4" t="n">
        <v>0</v>
      </c>
      <c r="T7" s="4" t="n">
        <v>0</v>
      </c>
      <c r="U7" s="10" t="n"/>
      <c r="V7" s="23">
        <f>IF(AND(ISNUMBER(T7),T7&gt;0),R7/T7,"")</f>
        <v/>
      </c>
      <c r="W7" s="23">
        <f>IF(AND(ISNUMBER(S7),S7&gt;0),R7/S7,"")</f>
        <v/>
      </c>
      <c r="X7" s="24">
        <f>IF(AND(ISNUMBER(S7),S7&gt;0,ISNUMBER(T7)),T7/S7,"")</f>
        <v/>
      </c>
      <c r="Y7" s="8">
        <f>IF(A7="","",IF(N(R7)&lt;Settings!$B$4*Settings!$B$6,"Testing",IF(N(T7)=0,"Kill",IF(V7&lt;=Settings!$B$4,"Winner",IF(V7&lt;=Settings!$B$4*Settings!$B$5,"Watch","Kill")))))</f>
        <v/>
      </c>
      <c r="Z7" s="2" t="n"/>
      <c r="AA7" s="2" t="inlineStr">
        <is>
          <t>Upload + launch in R1 ad set</t>
        </is>
      </c>
    </row>
    <row r="8">
      <c r="A8" s="2" t="inlineStr">
        <is>
          <t>pending</t>
        </is>
      </c>
      <c r="B8" s="2" t="inlineStr">
        <is>
          <t>F12-gutcheck-3am-L-renewal</t>
        </is>
      </c>
      <c r="C8" s="2" t="inlineStr">
        <is>
          <t>2026-10-05</t>
        </is>
      </c>
      <c r="D8" s="2" t="inlineStr">
        <is>
          <t>SL Test | Persona x Formula / R1 Formula sweep A</t>
        </is>
      </c>
      <c r="E8" s="2" t="inlineStr">
        <is>
          <t>Draft</t>
        </is>
      </c>
      <c r="F8" s="2" t="inlineStr">
        <is>
          <t>Mind / thoughts (renewal)</t>
        </is>
      </c>
      <c r="G8" s="2" t="inlineStr">
        <is>
          <t>Night overthinker</t>
        </is>
      </c>
      <c r="H8" s="2" t="inlineStr">
        <is>
          <t>renewal</t>
        </is>
      </c>
      <c r="I8" s="2" t="inlineStr">
        <is>
          <t>Promises</t>
        </is>
      </c>
      <c r="J8" s="2" t="inlineStr">
        <is>
          <t>Serve</t>
        </is>
      </c>
      <c r="K8" s="2" t="inlineStr">
        <is>
          <t>#12 Gut Check</t>
        </is>
      </c>
      <c r="L8" s="2" t="inlineStr">
        <is>
          <t>Static + long copy</t>
        </is>
      </c>
      <c r="M8" s="2" t="inlineStr">
        <is>
          <t>When was the last time the loudest voice in your head at night was God's?</t>
        </is>
      </c>
      <c r="N8" s="2" t="n"/>
      <c r="O8" s="2" t="inlineStr">
        <is>
          <t>Let God have the first word</t>
        </is>
      </c>
      <c r="P8" s="2" t="inlineStr">
        <is>
          <t>Download</t>
        </is>
      </c>
      <c r="Q8" s="2" t="inlineStr">
        <is>
          <t>Romans 12:2</t>
        </is>
      </c>
      <c r="R8" s="22" t="n">
        <v>0</v>
      </c>
      <c r="S8" s="4" t="n">
        <v>0</v>
      </c>
      <c r="T8" s="4" t="n">
        <v>0</v>
      </c>
      <c r="U8" s="10" t="n"/>
      <c r="V8" s="23">
        <f>IF(AND(ISNUMBER(T8),T8&gt;0),R8/T8,"")</f>
        <v/>
      </c>
      <c r="W8" s="23">
        <f>IF(AND(ISNUMBER(S8),S8&gt;0),R8/S8,"")</f>
        <v/>
      </c>
      <c r="X8" s="24">
        <f>IF(AND(ISNUMBER(S8),S8&gt;0,ISNUMBER(T8)),T8/S8,"")</f>
        <v/>
      </c>
      <c r="Y8" s="8">
        <f>IF(A8="","",IF(N(R8)&lt;Settings!$B$4*Settings!$B$6,"Testing",IF(N(T8)=0,"Kill",IF(V8&lt;=Settings!$B$4,"Winner",IF(V8&lt;=Settings!$B$4*Settings!$B$5,"Watch","Kill")))))</f>
        <v/>
      </c>
      <c r="Z8" s="2" t="n"/>
      <c r="AA8" s="2" t="inlineStr">
        <is>
          <t>Upload + launch in R1 ad set</t>
        </is>
      </c>
    </row>
    <row r="9">
      <c r="A9" s="2" t="inlineStr">
        <is>
          <t>pending</t>
        </is>
      </c>
      <c r="B9" s="2" t="inlineStr">
        <is>
          <t>F7-zoomin-3am-S-renewal</t>
        </is>
      </c>
      <c r="C9" s="2" t="inlineStr">
        <is>
          <t>2026-10-05</t>
        </is>
      </c>
      <c r="D9" s="2" t="inlineStr">
        <is>
          <t>SL Test | Persona x Formula / R1 Formula sweep A</t>
        </is>
      </c>
      <c r="E9" s="2" t="inlineStr">
        <is>
          <t>Draft</t>
        </is>
      </c>
      <c r="F9" s="2" t="inlineStr">
        <is>
          <t>Mind / thoughts (renewal)</t>
        </is>
      </c>
      <c r="G9" s="2" t="inlineStr">
        <is>
          <t>Night overthinker</t>
        </is>
      </c>
      <c r="H9" s="2" t="inlineStr">
        <is>
          <t>renewal</t>
        </is>
      </c>
      <c r="I9" s="2" t="inlineStr">
        <is>
          <t>Promises</t>
        </is>
      </c>
      <c r="J9" s="2" t="inlineStr">
        <is>
          <t>Sell</t>
        </is>
      </c>
      <c r="K9" s="2" t="inlineStr">
        <is>
          <t>#7 Zoom In</t>
        </is>
      </c>
      <c r="L9" s="2" t="inlineStr">
        <is>
          <t>App demo</t>
        </is>
      </c>
      <c r="M9" s="2" t="inlineStr">
        <is>
          <t>One line on the screen. Each word lights up as you say it.</t>
        </is>
      </c>
      <c r="N9" s="2" t="n"/>
      <c r="O9" s="2" t="inlineStr">
        <is>
          <t>Say it. Watch it light up.</t>
        </is>
      </c>
      <c r="P9" s="2" t="inlineStr">
        <is>
          <t>Download</t>
        </is>
      </c>
      <c r="Q9" s="2" t="inlineStr">
        <is>
          <t>1 Corinthians 2:16</t>
        </is>
      </c>
      <c r="R9" s="22" t="n">
        <v>0</v>
      </c>
      <c r="S9" s="4" t="n">
        <v>0</v>
      </c>
      <c r="T9" s="4" t="n">
        <v>0</v>
      </c>
      <c r="U9" s="10" t="n"/>
      <c r="V9" s="23">
        <f>IF(AND(ISNUMBER(T9),T9&gt;0),R9/T9,"")</f>
        <v/>
      </c>
      <c r="W9" s="23">
        <f>IF(AND(ISNUMBER(S9),S9&gt;0),R9/S9,"")</f>
        <v/>
      </c>
      <c r="X9" s="24">
        <f>IF(AND(ISNUMBER(S9),S9&gt;0,ISNUMBER(T9)),T9/S9,"")</f>
        <v/>
      </c>
      <c r="Y9" s="8">
        <f>IF(A9="","",IF(N(R9)&lt;Settings!$B$4*Settings!$B$6,"Testing",IF(N(T9)=0,"Kill",IF(V9&lt;=Settings!$B$4,"Winner",IF(V9&lt;=Settings!$B$4*Settings!$B$5,"Watch","Kill")))))</f>
        <v/>
      </c>
      <c r="Z9" s="2" t="inlineStr">
        <is>
          <t>Needs founder screen recording of the speak card before it can ship.</t>
        </is>
      </c>
      <c r="AA9" s="2" t="inlineStr">
        <is>
          <t>Upload + launch in R1 ad set</t>
        </is>
      </c>
    </row>
    <row r="10">
      <c r="A10" s="2" t="inlineStr">
        <is>
          <t>pending</t>
        </is>
      </c>
      <c r="B10" s="2" t="inlineStr">
        <is>
          <t>F1-revival-3am-L-renewal</t>
        </is>
      </c>
      <c r="C10" s="2" t="inlineStr">
        <is>
          <t>2026-10-05</t>
        </is>
      </c>
      <c r="D10" s="2" t="inlineStr">
        <is>
          <t>SL Test | Persona x Formula / R1 Formula sweep A</t>
        </is>
      </c>
      <c r="E10" s="2" t="inlineStr">
        <is>
          <t>Draft</t>
        </is>
      </c>
      <c r="F10" s="2" t="inlineStr">
        <is>
          <t>Mind / thoughts (renewal)</t>
        </is>
      </c>
      <c r="G10" s="2" t="inlineStr">
        <is>
          <t>Night overthinker (midnight)</t>
        </is>
      </c>
      <c r="H10" s="2" t="inlineStr">
        <is>
          <t>renewal</t>
        </is>
      </c>
      <c r="I10" s="2" t="inlineStr">
        <is>
          <t>Promises</t>
        </is>
      </c>
      <c r="J10" s="2" t="inlineStr">
        <is>
          <t>Sell</t>
        </is>
      </c>
      <c r="K10" s="2" t="inlineStr">
        <is>
          <t>#1 Revival Reel</t>
        </is>
      </c>
      <c r="L10" s="2" t="inlineStr">
        <is>
          <t>Static + long copy</t>
        </is>
      </c>
      <c r="M10" s="2" t="inlineStr">
        <is>
          <t>For the ones still awake at midnight, running the same conversation for the tenth time:</t>
        </is>
      </c>
      <c r="N10" s="2" t="n"/>
      <c r="O10" s="2" t="inlineStr">
        <is>
          <t>Fall asleep on a promise</t>
        </is>
      </c>
      <c r="P10" s="2" t="inlineStr">
        <is>
          <t>Download</t>
        </is>
      </c>
      <c r="Q10" s="2" t="inlineStr">
        <is>
          <t>John 14:27</t>
        </is>
      </c>
      <c r="R10" s="22" t="n">
        <v>0</v>
      </c>
      <c r="S10" s="4" t="n">
        <v>0</v>
      </c>
      <c r="T10" s="4" t="n">
        <v>0</v>
      </c>
      <c r="U10" s="10" t="n"/>
      <c r="V10" s="23">
        <f>IF(AND(ISNUMBER(T10),T10&gt;0),R10/T10,"")</f>
        <v/>
      </c>
      <c r="W10" s="23">
        <f>IF(AND(ISNUMBER(S10),S10&gt;0),R10/S10,"")</f>
        <v/>
      </c>
      <c r="X10" s="24">
        <f>IF(AND(ISNUMBER(S10),S10&gt;0,ISNUMBER(T10)),T10/S10,"")</f>
        <v/>
      </c>
      <c r="Y10" s="8">
        <f>IF(A10="","",IF(N(R10)&lt;Settings!$B$4*Settings!$B$6,"Testing",IF(N(T10)=0,"Kill",IF(V10&lt;=Settings!$B$4,"Winner",IF(V10&lt;=Settings!$B$4*Settings!$B$5,"Watch","Kill")))))</f>
        <v/>
      </c>
      <c r="Z10" s="2" t="n"/>
      <c r="AA10" s="2" t="inlineStr">
        <is>
          <t>Upload + launch in R1 ad set</t>
        </is>
      </c>
    </row>
    <row r="11">
      <c r="A11" s="2" t="inlineStr">
        <is>
          <t>120247271757820227</t>
        </is>
      </c>
      <c r="B11" s="2" t="inlineStr">
        <is>
          <t>VAR-hookA-thought-renewal</t>
        </is>
      </c>
      <c r="C11" s="2" t="inlineStr">
        <is>
          <t>2026-10-03</t>
        </is>
      </c>
      <c r="D11" s="2" t="inlineStr">
        <is>
          <t>SL Test | Persona x Formula / Winner Variants</t>
        </is>
      </c>
      <c r="E11" s="2" t="inlineStr">
        <is>
          <t>Paused</t>
        </is>
      </c>
      <c r="F11" s="2" t="inlineStr">
        <is>
          <t>Mind / thoughts (renewal)</t>
        </is>
      </c>
      <c r="G11" s="2" t="inlineStr">
        <is>
          <t>Night worrier</t>
        </is>
      </c>
      <c r="H11" s="2" t="inlineStr">
        <is>
          <t>renewal</t>
        </is>
      </c>
      <c r="I11" s="2" t="inlineStr">
        <is>
          <t>Promises</t>
        </is>
      </c>
      <c r="J11" s="2" t="inlineStr">
        <is>
          <t>Serve</t>
        </is>
      </c>
      <c r="K11" s="2" t="inlineStr">
        <is>
          <t>#10 The Menu</t>
        </is>
      </c>
      <c r="L11" s="2" t="inlineStr">
        <is>
          <t>Native slideshow (carousel)</t>
        </is>
      </c>
      <c r="M11" s="2" t="inlineStr">
        <is>
          <t>you can't argue a thought away in your head (step 2 is the key)</t>
        </is>
      </c>
      <c r="N11" s="2" t="n"/>
      <c r="O11" s="2" t="n"/>
      <c r="P11" s="2" t="inlineStr">
        <is>
          <t>Download</t>
        </is>
      </c>
      <c r="Q11" s="2" t="n"/>
      <c r="R11" s="25" t="n">
        <v>0</v>
      </c>
      <c r="S11" s="2" t="n">
        <v>0</v>
      </c>
      <c r="T11" s="2" t="n">
        <v>0</v>
      </c>
      <c r="U11" s="10" t="n"/>
      <c r="V11" s="23">
        <f>IF(AND(ISNUMBER(T11),T11&gt;0),R11/T11,"")</f>
        <v/>
      </c>
      <c r="W11" s="23">
        <f>IF(AND(ISNUMBER(S11),S11&gt;0),R11/S11,"")</f>
        <v/>
      </c>
      <c r="X11" s="24">
        <f>IF(AND(ISNUMBER(S11),S11&gt;0,ISNUMBER(T11)),T11/S11,"")</f>
        <v/>
      </c>
      <c r="Y11" s="8">
        <f>IF(A11="","",IF(N(R11)&lt;Settings!$B$4*Settings!$B$6,"Testing",IF(N(T11)=0,"Kill",IF(V11&lt;=Settings!$B$4,"Winner",IF(V11&lt;=Settings!$B$4*Settings!$B$5,"Watch","Kill")))))</f>
        <v/>
      </c>
      <c r="Z11" s="2" t="inlineStr">
        <is>
          <t>New hook only; slides 2-7 identical to the winner</t>
        </is>
      </c>
      <c r="AA11" s="2" t="inlineStr">
        <is>
          <t>Turn on; judge at day 7</t>
        </is>
      </c>
    </row>
    <row r="12">
      <c r="A12" s="2" t="inlineStr">
        <is>
          <t>120247271758270227</t>
        </is>
      </c>
      <c r="B12" s="2" t="inlineStr">
        <is>
          <t>VAR-hookB-thought-renewal</t>
        </is>
      </c>
      <c r="C12" s="2" t="inlineStr">
        <is>
          <t>2026-10-03</t>
        </is>
      </c>
      <c r="D12" s="2" t="inlineStr">
        <is>
          <t>SL Test | Persona x Formula / Winner Variants</t>
        </is>
      </c>
      <c r="E12" s="2" t="inlineStr">
        <is>
          <t>Paused</t>
        </is>
      </c>
      <c r="F12" s="2" t="inlineStr">
        <is>
          <t>Mind / thoughts (renewal)</t>
        </is>
      </c>
      <c r="G12" s="2" t="inlineStr">
        <is>
          <t>Night worrier</t>
        </is>
      </c>
      <c r="H12" s="2" t="inlineStr">
        <is>
          <t>renewal</t>
        </is>
      </c>
      <c r="I12" s="2" t="inlineStr">
        <is>
          <t>Promises</t>
        </is>
      </c>
      <c r="J12" s="2" t="inlineStr">
        <is>
          <t>Serve</t>
        </is>
      </c>
      <c r="K12" s="2" t="inlineStr">
        <is>
          <t>#10 The Menu</t>
        </is>
      </c>
      <c r="L12" s="2" t="inlineStr">
        <is>
          <t>Native slideshow (carousel)</t>
        </is>
      </c>
      <c r="M12" s="2" t="inlineStr">
        <is>
          <t>the thought gets louder when you stay quiet (step 2 is the key)</t>
        </is>
      </c>
      <c r="N12" s="2" t="n"/>
      <c r="O12" s="2" t="n"/>
      <c r="P12" s="2" t="inlineStr">
        <is>
          <t>Download</t>
        </is>
      </c>
      <c r="Q12" s="2" t="n"/>
      <c r="R12" s="25" t="n">
        <v>0</v>
      </c>
      <c r="S12" s="2" t="n">
        <v>0</v>
      </c>
      <c r="T12" s="2" t="n">
        <v>0</v>
      </c>
      <c r="U12" s="10" t="n"/>
      <c r="V12" s="23">
        <f>IF(AND(ISNUMBER(T12),T12&gt;0),R12/T12,"")</f>
        <v/>
      </c>
      <c r="W12" s="23">
        <f>IF(AND(ISNUMBER(S12),S12&gt;0),R12/S12,"")</f>
        <v/>
      </c>
      <c r="X12" s="24">
        <f>IF(AND(ISNUMBER(S12),S12&gt;0,ISNUMBER(T12)),T12/S12,"")</f>
        <v/>
      </c>
      <c r="Y12" s="8">
        <f>IF(A12="","",IF(N(R12)&lt;Settings!$B$4*Settings!$B$6,"Testing",IF(N(T12)=0,"Kill",IF(V12&lt;=Settings!$B$4,"Winner",IF(V12&lt;=Settings!$B$4*Settings!$B$5,"Watch","Kill")))))</f>
        <v/>
      </c>
      <c r="Z12" s="2" t="inlineStr">
        <is>
          <t>New hook only; slides 2-7 identical to the winner</t>
        </is>
      </c>
      <c r="AA12" s="2" t="inlineStr">
        <is>
          <t>Turn on; judge at day 7</t>
        </is>
      </c>
    </row>
    <row r="13">
      <c r="A13" s="2" t="inlineStr">
        <is>
          <t>120247271758420227</t>
        </is>
      </c>
      <c r="B13" s="2" t="inlineStr">
        <is>
          <t>VAR-fear-job-provision</t>
        </is>
      </c>
      <c r="C13" s="2" t="inlineStr">
        <is>
          <t>2026-10-03</t>
        </is>
      </c>
      <c r="D13" s="2" t="inlineStr">
        <is>
          <t>SL Test | Persona x Formula / Winner Variants</t>
        </is>
      </c>
      <c r="E13" s="2" t="inlineStr">
        <is>
          <t>Paused</t>
        </is>
      </c>
      <c r="F13" s="2" t="inlineStr">
        <is>
          <t>Losing a job</t>
        </is>
      </c>
      <c r="G13" s="2" t="inlineStr">
        <is>
          <t>Night worrier</t>
        </is>
      </c>
      <c r="H13" s="2" t="inlineStr">
        <is>
          <t>provision</t>
        </is>
      </c>
      <c r="I13" s="2" t="inlineStr">
        <is>
          <t>Promises</t>
        </is>
      </c>
      <c r="J13" s="2" t="inlineStr">
        <is>
          <t>Serve</t>
        </is>
      </c>
      <c r="K13" s="2" t="inlineStr">
        <is>
          <t>#10 The Menu</t>
        </is>
      </c>
      <c r="L13" s="2" t="inlineStr">
        <is>
          <t>Native slideshow (carousel)</t>
        </is>
      </c>
      <c r="M13" s="2" t="inlineStr">
        <is>
          <t>how to fight the fear of losing your job with scripture (step 2 is the key)</t>
        </is>
      </c>
      <c r="N13" s="2" t="n"/>
      <c r="O13" s="2" t="n"/>
      <c r="P13" s="2" t="inlineStr">
        <is>
          <t>Download</t>
        </is>
      </c>
      <c r="Q13" s="2" t="n"/>
      <c r="R13" s="25" t="n">
        <v>0</v>
      </c>
      <c r="S13" s="2" t="n">
        <v>0</v>
      </c>
      <c r="T13" s="2" t="n">
        <v>0</v>
      </c>
      <c r="U13" s="10" t="n"/>
      <c r="V13" s="23">
        <f>IF(AND(ISNUMBER(T13),T13&gt;0),R13/T13,"")</f>
        <v/>
      </c>
      <c r="W13" s="23">
        <f>IF(AND(ISNUMBER(S13),S13&gt;0),R13/S13,"")</f>
        <v/>
      </c>
      <c r="X13" s="24">
        <f>IF(AND(ISNUMBER(S13),S13&gt;0,ISNUMBER(T13)),T13/S13,"")</f>
        <v/>
      </c>
      <c r="Y13" s="8">
        <f>IF(A13="","",IF(N(R13)&lt;Settings!$B$4*Settings!$B$6,"Testing",IF(N(T13)=0,"Kill",IF(V13&lt;=Settings!$B$4,"Winner",IF(V13&lt;=Settings!$B$4*Settings!$B$5,"Watch","Kill")))))</f>
        <v/>
      </c>
      <c r="Z13" s="2" t="inlineStr">
        <is>
          <t>Winner structure, job fear + Deut 31:8</t>
        </is>
      </c>
      <c r="AA13" s="2" t="inlineStr">
        <is>
          <t>Turn on; judge at day 7</t>
        </is>
      </c>
    </row>
    <row r="14">
      <c r="A14" s="2" t="inlineStr">
        <is>
          <t>120247271758630227</t>
        </is>
      </c>
      <c r="B14" s="2" t="inlineStr">
        <is>
          <t>VAR-fear-health-fear</t>
        </is>
      </c>
      <c r="C14" s="2" t="inlineStr">
        <is>
          <t>2026-10-03</t>
        </is>
      </c>
      <c r="D14" s="2" t="inlineStr">
        <is>
          <t>SL Test | Persona x Formula / Winner Variants</t>
        </is>
      </c>
      <c r="E14" s="2" t="inlineStr">
        <is>
          <t>Paused</t>
        </is>
      </c>
      <c r="F14" s="2" t="inlineStr">
        <is>
          <t>Fear &amp; anxiety</t>
        </is>
      </c>
      <c r="G14" s="2" t="inlineStr">
        <is>
          <t>Night worrier</t>
        </is>
      </c>
      <c r="H14" s="2" t="inlineStr">
        <is>
          <t>fear</t>
        </is>
      </c>
      <c r="I14" s="2" t="inlineStr">
        <is>
          <t>Promises</t>
        </is>
      </c>
      <c r="J14" s="2" t="inlineStr">
        <is>
          <t>Serve</t>
        </is>
      </c>
      <c r="K14" s="2" t="inlineStr">
        <is>
          <t>#10 The Menu</t>
        </is>
      </c>
      <c r="L14" s="2" t="inlineStr">
        <is>
          <t>Native slideshow (carousel)</t>
        </is>
      </c>
      <c r="M14" s="2" t="inlineStr">
        <is>
          <t>how to fight a health scare with scripture (step 2 is the key)</t>
        </is>
      </c>
      <c r="N14" s="2" t="n"/>
      <c r="O14" s="2" t="n"/>
      <c r="P14" s="2" t="inlineStr">
        <is>
          <t>Download</t>
        </is>
      </c>
      <c r="Q14" s="2" t="n"/>
      <c r="R14" s="25" t="n">
        <v>0</v>
      </c>
      <c r="S14" s="2" t="n">
        <v>0</v>
      </c>
      <c r="T14" s="2" t="n">
        <v>0</v>
      </c>
      <c r="U14" s="10" t="n"/>
      <c r="V14" s="23">
        <f>IF(AND(ISNUMBER(T14),T14&gt;0),R14/T14,"")</f>
        <v/>
      </c>
      <c r="W14" s="23">
        <f>IF(AND(ISNUMBER(S14),S14&gt;0),R14/S14,"")</f>
        <v/>
      </c>
      <c r="X14" s="24">
        <f>IF(AND(ISNUMBER(S14),S14&gt;0,ISNUMBER(T14)),T14/S14,"")</f>
        <v/>
      </c>
      <c r="Y14" s="8">
        <f>IF(A14="","",IF(N(R14)&lt;Settings!$B$4*Settings!$B$6,"Testing",IF(N(T14)=0,"Kill",IF(V14&lt;=Settings!$B$4,"Winner",IF(V14&lt;=Settings!$B$4*Settings!$B$5,"Watch","Kill")))))</f>
        <v/>
      </c>
      <c r="Z14" s="2" t="inlineStr">
        <is>
          <t>Winner structure, health fear + Isaiah 41:10</t>
        </is>
      </c>
      <c r="AA14" s="2" t="inlineStr">
        <is>
          <t>Turn on; judge at day 7</t>
        </is>
      </c>
    </row>
    <row r="15">
      <c r="A15" s="2" t="inlineStr">
        <is>
          <t>120247271758860227</t>
        </is>
      </c>
      <c r="B15" s="2" t="inlineStr">
        <is>
          <t>VAR-fear-harm-command</t>
        </is>
      </c>
      <c r="C15" s="2" t="inlineStr">
        <is>
          <t>2026-10-03</t>
        </is>
      </c>
      <c r="D15" s="2" t="inlineStr">
        <is>
          <t>SL Test | Persona x Formula / Winner Variants</t>
        </is>
      </c>
      <c r="E15" s="2" t="inlineStr">
        <is>
          <t>Paused</t>
        </is>
      </c>
      <c r="F15" s="2" t="inlineStr">
        <is>
          <t>Protection</t>
        </is>
      </c>
      <c r="G15" s="2" t="inlineStr">
        <is>
          <t>Night worrier</t>
        </is>
      </c>
      <c r="H15" s="2" t="inlineStr">
        <is>
          <t>command</t>
        </is>
      </c>
      <c r="I15" s="2" t="inlineStr">
        <is>
          <t>Promises</t>
        </is>
      </c>
      <c r="J15" s="2" t="inlineStr">
        <is>
          <t>Serve</t>
        </is>
      </c>
      <c r="K15" s="2" t="inlineStr">
        <is>
          <t>#10 The Menu</t>
        </is>
      </c>
      <c r="L15" s="2" t="inlineStr">
        <is>
          <t>Native slideshow (carousel)</t>
        </is>
      </c>
      <c r="M15" s="2" t="inlineStr">
        <is>
          <t>how to fight the fear of harm with scripture (step 2 is the key)</t>
        </is>
      </c>
      <c r="N15" s="2" t="n"/>
      <c r="O15" s="2" t="n"/>
      <c r="P15" s="2" t="inlineStr">
        <is>
          <t>Download</t>
        </is>
      </c>
      <c r="Q15" s="2" t="n"/>
      <c r="R15" s="25" t="n">
        <v>0</v>
      </c>
      <c r="S15" s="2" t="n">
        <v>0</v>
      </c>
      <c r="T15" s="2" t="n">
        <v>0</v>
      </c>
      <c r="U15" s="10" t="n"/>
      <c r="V15" s="23">
        <f>IF(AND(ISNUMBER(T15),T15&gt;0),R15/T15,"")</f>
        <v/>
      </c>
      <c r="W15" s="23">
        <f>IF(AND(ISNUMBER(S15),S15&gt;0),R15/S15,"")</f>
        <v/>
      </c>
      <c r="X15" s="24">
        <f>IF(AND(ISNUMBER(S15),S15&gt;0,ISNUMBER(T15)),T15/S15,"")</f>
        <v/>
      </c>
      <c r="Y15" s="8">
        <f>IF(A15="","",IF(N(R15)&lt;Settings!$B$4*Settings!$B$6,"Testing",IF(N(T15)=0,"Kill",IF(V15&lt;=Settings!$B$4,"Winner",IF(V15&lt;=Settings!$B$4*Settings!$B$5,"Watch","Kill")))))</f>
        <v/>
      </c>
      <c r="Z15" s="2" t="inlineStr">
        <is>
          <t>Winner structure, harm fear + Isaiah 54:17</t>
        </is>
      </c>
      <c r="AA15" s="2" t="inlineStr">
        <is>
          <t>Turn on; judge at day 7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5" t="n"/>
      <c r="S16" s="2" t="n"/>
      <c r="T16" s="2" t="n"/>
      <c r="U16" s="10" t="n"/>
      <c r="V16" s="23">
        <f>IF(AND(ISNUMBER(T16),T16&gt;0),R16/T16,"")</f>
        <v/>
      </c>
      <c r="W16" s="23">
        <f>IF(AND(ISNUMBER(S16),S16&gt;0),R16/S16,"")</f>
        <v/>
      </c>
      <c r="X16" s="24">
        <f>IF(AND(ISNUMBER(S16),S16&gt;0,ISNUMBER(T16)),T16/S16,"")</f>
        <v/>
      </c>
      <c r="Y16" s="8">
        <f>IF(A16="","",IF(N(R16)&lt;Settings!$B$4*Settings!$B$6,"Testing",IF(N(T16)=0,"Kill",IF(V16&lt;=Settings!$B$4,"Winner",IF(V16&lt;=Settings!$B$4*Settings!$B$5,"Watch","Kill")))))</f>
        <v/>
      </c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5" t="n"/>
      <c r="S17" s="2" t="n"/>
      <c r="T17" s="2" t="n"/>
      <c r="U17" s="10" t="n"/>
      <c r="V17" s="23">
        <f>IF(AND(ISNUMBER(T17),T17&gt;0),R17/T17,"")</f>
        <v/>
      </c>
      <c r="W17" s="23">
        <f>IF(AND(ISNUMBER(S17),S17&gt;0),R17/S17,"")</f>
        <v/>
      </c>
      <c r="X17" s="24">
        <f>IF(AND(ISNUMBER(S17),S17&gt;0,ISNUMBER(T17)),T17/S17,"")</f>
        <v/>
      </c>
      <c r="Y17" s="8">
        <f>IF(A17="","",IF(N(R17)&lt;Settings!$B$4*Settings!$B$6,"Testing",IF(N(T17)=0,"Kill",IF(V17&lt;=Settings!$B$4,"Winner",IF(V17&lt;=Settings!$B$4*Settings!$B$5,"Watch","Kill")))))</f>
        <v/>
      </c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5" t="n"/>
      <c r="S18" s="2" t="n"/>
      <c r="T18" s="2" t="n"/>
      <c r="U18" s="10" t="n"/>
      <c r="V18" s="23">
        <f>IF(AND(ISNUMBER(T18),T18&gt;0),R18/T18,"")</f>
        <v/>
      </c>
      <c r="W18" s="23">
        <f>IF(AND(ISNUMBER(S18),S18&gt;0),R18/S18,"")</f>
        <v/>
      </c>
      <c r="X18" s="24">
        <f>IF(AND(ISNUMBER(S18),S18&gt;0,ISNUMBER(T18)),T18/S18,"")</f>
        <v/>
      </c>
      <c r="Y18" s="8">
        <f>IF(A18="","",IF(N(R18)&lt;Settings!$B$4*Settings!$B$6,"Testing",IF(N(T18)=0,"Kill",IF(V18&lt;=Settings!$B$4,"Winner",IF(V18&lt;=Settings!$B$4*Settings!$B$5,"Watch","Kill")))))</f>
        <v/>
      </c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5" t="n"/>
      <c r="S19" s="2" t="n"/>
      <c r="T19" s="2" t="n"/>
      <c r="U19" s="10" t="n"/>
      <c r="V19" s="23">
        <f>IF(AND(ISNUMBER(T19),T19&gt;0),R19/T19,"")</f>
        <v/>
      </c>
      <c r="W19" s="23">
        <f>IF(AND(ISNUMBER(S19),S19&gt;0),R19/S19,"")</f>
        <v/>
      </c>
      <c r="X19" s="24">
        <f>IF(AND(ISNUMBER(S19),S19&gt;0,ISNUMBER(T19)),T19/S19,"")</f>
        <v/>
      </c>
      <c r="Y19" s="8">
        <f>IF(A19="","",IF(N(R19)&lt;Settings!$B$4*Settings!$B$6,"Testing",IF(N(T19)=0,"Kill",IF(V19&lt;=Settings!$B$4,"Winner",IF(V19&lt;=Settings!$B$4*Settings!$B$5,"Watch","Kill")))))</f>
        <v/>
      </c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5" t="n"/>
      <c r="S20" s="2" t="n"/>
      <c r="T20" s="2" t="n"/>
      <c r="U20" s="10" t="n"/>
      <c r="V20" s="23">
        <f>IF(AND(ISNUMBER(T20),T20&gt;0),R20/T20,"")</f>
        <v/>
      </c>
      <c r="W20" s="23">
        <f>IF(AND(ISNUMBER(S20),S20&gt;0),R20/S20,"")</f>
        <v/>
      </c>
      <c r="X20" s="24">
        <f>IF(AND(ISNUMBER(S20),S20&gt;0,ISNUMBER(T20)),T20/S20,"")</f>
        <v/>
      </c>
      <c r="Y20" s="8">
        <f>IF(A20="","",IF(N(R20)&lt;Settings!$B$4*Settings!$B$6,"Testing",IF(N(T20)=0,"Kill",IF(V20&lt;=Settings!$B$4,"Winner",IF(V20&lt;=Settings!$B$4*Settings!$B$5,"Watch","Kill")))))</f>
        <v/>
      </c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5" t="n"/>
      <c r="S21" s="2" t="n"/>
      <c r="T21" s="2" t="n"/>
      <c r="U21" s="10" t="n"/>
      <c r="V21" s="23">
        <f>IF(AND(ISNUMBER(T21),T21&gt;0),R21/T21,"")</f>
        <v/>
      </c>
      <c r="W21" s="23">
        <f>IF(AND(ISNUMBER(S21),S21&gt;0),R21/S21,"")</f>
        <v/>
      </c>
      <c r="X21" s="24">
        <f>IF(AND(ISNUMBER(S21),S21&gt;0,ISNUMBER(T21)),T21/S21,"")</f>
        <v/>
      </c>
      <c r="Y21" s="8">
        <f>IF(A21="","",IF(N(R21)&lt;Settings!$B$4*Settings!$B$6,"Testing",IF(N(T21)=0,"Kill",IF(V21&lt;=Settings!$B$4,"Winner",IF(V21&lt;=Settings!$B$4*Settings!$B$5,"Watch","Kill")))))</f>
        <v/>
      </c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5" t="n"/>
      <c r="S22" s="2" t="n"/>
      <c r="T22" s="2" t="n"/>
      <c r="U22" s="10" t="n"/>
      <c r="V22" s="23">
        <f>IF(AND(ISNUMBER(T22),T22&gt;0),R22/T22,"")</f>
        <v/>
      </c>
      <c r="W22" s="23">
        <f>IF(AND(ISNUMBER(S22),S22&gt;0),R22/S22,"")</f>
        <v/>
      </c>
      <c r="X22" s="24">
        <f>IF(AND(ISNUMBER(S22),S22&gt;0,ISNUMBER(T22)),T22/S22,"")</f>
        <v/>
      </c>
      <c r="Y22" s="8">
        <f>IF(A22="","",IF(N(R22)&lt;Settings!$B$4*Settings!$B$6,"Testing",IF(N(T22)=0,"Kill",IF(V22&lt;=Settings!$B$4,"Winner",IF(V22&lt;=Settings!$B$4*Settings!$B$5,"Watch","Kill")))))</f>
        <v/>
      </c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5" t="n"/>
      <c r="S23" s="2" t="n"/>
      <c r="T23" s="2" t="n"/>
      <c r="U23" s="10" t="n"/>
      <c r="V23" s="23">
        <f>IF(AND(ISNUMBER(T23),T23&gt;0),R23/T23,"")</f>
        <v/>
      </c>
      <c r="W23" s="23">
        <f>IF(AND(ISNUMBER(S23),S23&gt;0),R23/S23,"")</f>
        <v/>
      </c>
      <c r="X23" s="24">
        <f>IF(AND(ISNUMBER(S23),S23&gt;0,ISNUMBER(T23)),T23/S23,"")</f>
        <v/>
      </c>
      <c r="Y23" s="8">
        <f>IF(A23="","",IF(N(R23)&lt;Settings!$B$4*Settings!$B$6,"Testing",IF(N(T23)=0,"Kill",IF(V23&lt;=Settings!$B$4,"Winner",IF(V23&lt;=Settings!$B$4*Settings!$B$5,"Watch","Kill")))))</f>
        <v/>
      </c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5" t="n"/>
      <c r="S24" s="2" t="n"/>
      <c r="T24" s="2" t="n"/>
      <c r="U24" s="10" t="n"/>
      <c r="V24" s="23">
        <f>IF(AND(ISNUMBER(T24),T24&gt;0),R24/T24,"")</f>
        <v/>
      </c>
      <c r="W24" s="23">
        <f>IF(AND(ISNUMBER(S24),S24&gt;0),R24/S24,"")</f>
        <v/>
      </c>
      <c r="X24" s="24">
        <f>IF(AND(ISNUMBER(S24),S24&gt;0,ISNUMBER(T24)),T24/S24,"")</f>
        <v/>
      </c>
      <c r="Y24" s="8">
        <f>IF(A24="","",IF(N(R24)&lt;Settings!$B$4*Settings!$B$6,"Testing",IF(N(T24)=0,"Kill",IF(V24&lt;=Settings!$B$4,"Winner",IF(V24&lt;=Settings!$B$4*Settings!$B$5,"Watch","Kill")))))</f>
        <v/>
      </c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5" t="n"/>
      <c r="S25" s="2" t="n"/>
      <c r="T25" s="2" t="n"/>
      <c r="U25" s="10" t="n"/>
      <c r="V25" s="23">
        <f>IF(AND(ISNUMBER(T25),T25&gt;0),R25/T25,"")</f>
        <v/>
      </c>
      <c r="W25" s="23">
        <f>IF(AND(ISNUMBER(S25),S25&gt;0),R25/S25,"")</f>
        <v/>
      </c>
      <c r="X25" s="24">
        <f>IF(AND(ISNUMBER(S25),S25&gt;0,ISNUMBER(T25)),T25/S25,"")</f>
        <v/>
      </c>
      <c r="Y25" s="8">
        <f>IF(A25="","",IF(N(R25)&lt;Settings!$B$4*Settings!$B$6,"Testing",IF(N(T25)=0,"Kill",IF(V25&lt;=Settings!$B$4,"Winner",IF(V25&lt;=Settings!$B$4*Settings!$B$5,"Watch","Kill")))))</f>
        <v/>
      </c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5" t="n"/>
      <c r="S26" s="2" t="n"/>
      <c r="T26" s="2" t="n"/>
      <c r="U26" s="10" t="n"/>
      <c r="V26" s="23">
        <f>IF(AND(ISNUMBER(T26),T26&gt;0),R26/T26,"")</f>
        <v/>
      </c>
      <c r="W26" s="23">
        <f>IF(AND(ISNUMBER(S26),S26&gt;0),R26/S26,"")</f>
        <v/>
      </c>
      <c r="X26" s="24">
        <f>IF(AND(ISNUMBER(S26),S26&gt;0,ISNUMBER(T26)),T26/S26,"")</f>
        <v/>
      </c>
      <c r="Y26" s="8">
        <f>IF(A26="","",IF(N(R26)&lt;Settings!$B$4*Settings!$B$6,"Testing",IF(N(T26)=0,"Kill",IF(V26&lt;=Settings!$B$4,"Winner",IF(V26&lt;=Settings!$B$4*Settings!$B$5,"Watch","Kill")))))</f>
        <v/>
      </c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5" t="n"/>
      <c r="S27" s="2" t="n"/>
      <c r="T27" s="2" t="n"/>
      <c r="U27" s="10" t="n"/>
      <c r="V27" s="23">
        <f>IF(AND(ISNUMBER(T27),T27&gt;0),R27/T27,"")</f>
        <v/>
      </c>
      <c r="W27" s="23">
        <f>IF(AND(ISNUMBER(S27),S27&gt;0),R27/S27,"")</f>
        <v/>
      </c>
      <c r="X27" s="24">
        <f>IF(AND(ISNUMBER(S27),S27&gt;0,ISNUMBER(T27)),T27/S27,"")</f>
        <v/>
      </c>
      <c r="Y27" s="8">
        <f>IF(A27="","",IF(N(R27)&lt;Settings!$B$4*Settings!$B$6,"Testing",IF(N(T27)=0,"Kill",IF(V27&lt;=Settings!$B$4,"Winner",IF(V27&lt;=Settings!$B$4*Settings!$B$5,"Watch","Kill")))))</f>
        <v/>
      </c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5" t="n"/>
      <c r="S28" s="2" t="n"/>
      <c r="T28" s="2" t="n"/>
      <c r="U28" s="10" t="n"/>
      <c r="V28" s="23">
        <f>IF(AND(ISNUMBER(T28),T28&gt;0),R28/T28,"")</f>
        <v/>
      </c>
      <c r="W28" s="23">
        <f>IF(AND(ISNUMBER(S28),S28&gt;0),R28/S28,"")</f>
        <v/>
      </c>
      <c r="X28" s="24">
        <f>IF(AND(ISNUMBER(S28),S28&gt;0,ISNUMBER(T28)),T28/S28,"")</f>
        <v/>
      </c>
      <c r="Y28" s="8">
        <f>IF(A28="","",IF(N(R28)&lt;Settings!$B$4*Settings!$B$6,"Testing",IF(N(T28)=0,"Kill",IF(V28&lt;=Settings!$B$4,"Winner",IF(V28&lt;=Settings!$B$4*Settings!$B$5,"Watch","Kill")))))</f>
        <v/>
      </c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5" t="n"/>
      <c r="S29" s="2" t="n"/>
      <c r="T29" s="2" t="n"/>
      <c r="U29" s="10" t="n"/>
      <c r="V29" s="23">
        <f>IF(AND(ISNUMBER(T29),T29&gt;0),R29/T29,"")</f>
        <v/>
      </c>
      <c r="W29" s="23">
        <f>IF(AND(ISNUMBER(S29),S29&gt;0),R29/S29,"")</f>
        <v/>
      </c>
      <c r="X29" s="24">
        <f>IF(AND(ISNUMBER(S29),S29&gt;0,ISNUMBER(T29)),T29/S29,"")</f>
        <v/>
      </c>
      <c r="Y29" s="8">
        <f>IF(A29="","",IF(N(R29)&lt;Settings!$B$4*Settings!$B$6,"Testing",IF(N(T29)=0,"Kill",IF(V29&lt;=Settings!$B$4,"Winner",IF(V29&lt;=Settings!$B$4*Settings!$B$5,"Watch","Kill")))))</f>
        <v/>
      </c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5" t="n"/>
      <c r="S30" s="2" t="n"/>
      <c r="T30" s="2" t="n"/>
      <c r="U30" s="10" t="n"/>
      <c r="V30" s="23">
        <f>IF(AND(ISNUMBER(T30),T30&gt;0),R30/T30,"")</f>
        <v/>
      </c>
      <c r="W30" s="23">
        <f>IF(AND(ISNUMBER(S30),S30&gt;0),R30/S30,"")</f>
        <v/>
      </c>
      <c r="X30" s="24">
        <f>IF(AND(ISNUMBER(S30),S30&gt;0,ISNUMBER(T30)),T30/S30,"")</f>
        <v/>
      </c>
      <c r="Y30" s="8">
        <f>IF(A30="","",IF(N(R30)&lt;Settings!$B$4*Settings!$B$6,"Testing",IF(N(T30)=0,"Kill",IF(V30&lt;=Settings!$B$4,"Winner",IF(V30&lt;=Settings!$B$4*Settings!$B$5,"Watch","Kill")))))</f>
        <v/>
      </c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5" t="n"/>
      <c r="S31" s="2" t="n"/>
      <c r="T31" s="2" t="n"/>
      <c r="U31" s="10" t="n"/>
      <c r="V31" s="23">
        <f>IF(AND(ISNUMBER(T31),T31&gt;0),R31/T31,"")</f>
        <v/>
      </c>
      <c r="W31" s="23">
        <f>IF(AND(ISNUMBER(S31),S31&gt;0),R31/S31,"")</f>
        <v/>
      </c>
      <c r="X31" s="24">
        <f>IF(AND(ISNUMBER(S31),S31&gt;0,ISNUMBER(T31)),T31/S31,"")</f>
        <v/>
      </c>
      <c r="Y31" s="8">
        <f>IF(A31="","",IF(N(R31)&lt;Settings!$B$4*Settings!$B$6,"Testing",IF(N(T31)=0,"Kill",IF(V31&lt;=Settings!$B$4,"Winner",IF(V31&lt;=Settings!$B$4*Settings!$B$5,"Watch","Kill")))))</f>
        <v/>
      </c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5" t="n"/>
      <c r="S32" s="2" t="n"/>
      <c r="T32" s="2" t="n"/>
      <c r="U32" s="10" t="n"/>
      <c r="V32" s="23">
        <f>IF(AND(ISNUMBER(T32),T32&gt;0),R32/T32,"")</f>
        <v/>
      </c>
      <c r="W32" s="23">
        <f>IF(AND(ISNUMBER(S32),S32&gt;0),R32/S32,"")</f>
        <v/>
      </c>
      <c r="X32" s="24">
        <f>IF(AND(ISNUMBER(S32),S32&gt;0,ISNUMBER(T32)),T32/S32,"")</f>
        <v/>
      </c>
      <c r="Y32" s="8">
        <f>IF(A32="","",IF(N(R32)&lt;Settings!$B$4*Settings!$B$6,"Testing",IF(N(T32)=0,"Kill",IF(V32&lt;=Settings!$B$4,"Winner",IF(V32&lt;=Settings!$B$4*Settings!$B$5,"Watch","Kill")))))</f>
        <v/>
      </c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5" t="n"/>
      <c r="S33" s="2" t="n"/>
      <c r="T33" s="2" t="n"/>
      <c r="U33" s="10" t="n"/>
      <c r="V33" s="23">
        <f>IF(AND(ISNUMBER(T33),T33&gt;0),R33/T33,"")</f>
        <v/>
      </c>
      <c r="W33" s="23">
        <f>IF(AND(ISNUMBER(S33),S33&gt;0),R33/S33,"")</f>
        <v/>
      </c>
      <c r="X33" s="24">
        <f>IF(AND(ISNUMBER(S33),S33&gt;0,ISNUMBER(T33)),T33/S33,"")</f>
        <v/>
      </c>
      <c r="Y33" s="8">
        <f>IF(A33="","",IF(N(R33)&lt;Settings!$B$4*Settings!$B$6,"Testing",IF(N(T33)=0,"Kill",IF(V33&lt;=Settings!$B$4,"Winner",IF(V33&lt;=Settings!$B$4*Settings!$B$5,"Watch","Kill")))))</f>
        <v/>
      </c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5" t="n"/>
      <c r="S34" s="2" t="n"/>
      <c r="T34" s="2" t="n"/>
      <c r="U34" s="10" t="n"/>
      <c r="V34" s="23">
        <f>IF(AND(ISNUMBER(T34),T34&gt;0),R34/T34,"")</f>
        <v/>
      </c>
      <c r="W34" s="23">
        <f>IF(AND(ISNUMBER(S34),S34&gt;0),R34/S34,"")</f>
        <v/>
      </c>
      <c r="X34" s="24">
        <f>IF(AND(ISNUMBER(S34),S34&gt;0,ISNUMBER(T34)),T34/S34,"")</f>
        <v/>
      </c>
      <c r="Y34" s="8">
        <f>IF(A34="","",IF(N(R34)&lt;Settings!$B$4*Settings!$B$6,"Testing",IF(N(T34)=0,"Kill",IF(V34&lt;=Settings!$B$4,"Winner",IF(V34&lt;=Settings!$B$4*Settings!$B$5,"Watch","Kill")))))</f>
        <v/>
      </c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5" t="n"/>
      <c r="S35" s="2" t="n"/>
      <c r="T35" s="2" t="n"/>
      <c r="U35" s="10" t="n"/>
      <c r="V35" s="23">
        <f>IF(AND(ISNUMBER(T35),T35&gt;0),R35/T35,"")</f>
        <v/>
      </c>
      <c r="W35" s="23">
        <f>IF(AND(ISNUMBER(S35),S35&gt;0),R35/S35,"")</f>
        <v/>
      </c>
      <c r="X35" s="24">
        <f>IF(AND(ISNUMBER(S35),S35&gt;0,ISNUMBER(T35)),T35/S35,"")</f>
        <v/>
      </c>
      <c r="Y35" s="8">
        <f>IF(A35="","",IF(N(R35)&lt;Settings!$B$4*Settings!$B$6,"Testing",IF(N(T35)=0,"Kill",IF(V35&lt;=Settings!$B$4,"Winner",IF(V35&lt;=Settings!$B$4*Settings!$B$5,"Watch","Kill")))))</f>
        <v/>
      </c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5" t="n"/>
      <c r="S36" s="2" t="n"/>
      <c r="T36" s="2" t="n"/>
      <c r="U36" s="10" t="n"/>
      <c r="V36" s="23">
        <f>IF(AND(ISNUMBER(T36),T36&gt;0),R36/T36,"")</f>
        <v/>
      </c>
      <c r="W36" s="23">
        <f>IF(AND(ISNUMBER(S36),S36&gt;0),R36/S36,"")</f>
        <v/>
      </c>
      <c r="X36" s="24">
        <f>IF(AND(ISNUMBER(S36),S36&gt;0,ISNUMBER(T36)),T36/S36,"")</f>
        <v/>
      </c>
      <c r="Y36" s="8">
        <f>IF(A36="","",IF(N(R36)&lt;Settings!$B$4*Settings!$B$6,"Testing",IF(N(T36)=0,"Kill",IF(V36&lt;=Settings!$B$4,"Winner",IF(V36&lt;=Settings!$B$4*Settings!$B$5,"Watch","Kill")))))</f>
        <v/>
      </c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5" t="n"/>
      <c r="S37" s="2" t="n"/>
      <c r="T37" s="2" t="n"/>
      <c r="U37" s="10" t="n"/>
      <c r="V37" s="23">
        <f>IF(AND(ISNUMBER(T37),T37&gt;0),R37/T37,"")</f>
        <v/>
      </c>
      <c r="W37" s="23">
        <f>IF(AND(ISNUMBER(S37),S37&gt;0),R37/S37,"")</f>
        <v/>
      </c>
      <c r="X37" s="24">
        <f>IF(AND(ISNUMBER(S37),S37&gt;0,ISNUMBER(T37)),T37/S37,"")</f>
        <v/>
      </c>
      <c r="Y37" s="8">
        <f>IF(A37="","",IF(N(R37)&lt;Settings!$B$4*Settings!$B$6,"Testing",IF(N(T37)=0,"Kill",IF(V37&lt;=Settings!$B$4,"Winner",IF(V37&lt;=Settings!$B$4*Settings!$B$5,"Watch","Kill")))))</f>
        <v/>
      </c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5" t="n"/>
      <c r="S38" s="2" t="n"/>
      <c r="T38" s="2" t="n"/>
      <c r="U38" s="10" t="n"/>
      <c r="V38" s="23">
        <f>IF(AND(ISNUMBER(T38),T38&gt;0),R38/T38,"")</f>
        <v/>
      </c>
      <c r="W38" s="23">
        <f>IF(AND(ISNUMBER(S38),S38&gt;0),R38/S38,"")</f>
        <v/>
      </c>
      <c r="X38" s="24">
        <f>IF(AND(ISNUMBER(S38),S38&gt;0,ISNUMBER(T38)),T38/S38,"")</f>
        <v/>
      </c>
      <c r="Y38" s="8">
        <f>IF(A38="","",IF(N(R38)&lt;Settings!$B$4*Settings!$B$6,"Testing",IF(N(T38)=0,"Kill",IF(V38&lt;=Settings!$B$4,"Winner",IF(V38&lt;=Settings!$B$4*Settings!$B$5,"Watch","Kill")))))</f>
        <v/>
      </c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5" t="n"/>
      <c r="S39" s="2" t="n"/>
      <c r="T39" s="2" t="n"/>
      <c r="U39" s="10" t="n"/>
      <c r="V39" s="23">
        <f>IF(AND(ISNUMBER(T39),T39&gt;0),R39/T39,"")</f>
        <v/>
      </c>
      <c r="W39" s="23">
        <f>IF(AND(ISNUMBER(S39),S39&gt;0),R39/S39,"")</f>
        <v/>
      </c>
      <c r="X39" s="24">
        <f>IF(AND(ISNUMBER(S39),S39&gt;0,ISNUMBER(T39)),T39/S39,"")</f>
        <v/>
      </c>
      <c r="Y39" s="8">
        <f>IF(A39="","",IF(N(R39)&lt;Settings!$B$4*Settings!$B$6,"Testing",IF(N(T39)=0,"Kill",IF(V39&lt;=Settings!$B$4,"Winner",IF(V39&lt;=Settings!$B$4*Settings!$B$5,"Watch","Kill")))))</f>
        <v/>
      </c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5" t="n"/>
      <c r="S40" s="2" t="n"/>
      <c r="T40" s="2" t="n"/>
      <c r="U40" s="10" t="n"/>
      <c r="V40" s="23">
        <f>IF(AND(ISNUMBER(T40),T40&gt;0),R40/T40,"")</f>
        <v/>
      </c>
      <c r="W40" s="23">
        <f>IF(AND(ISNUMBER(S40),S40&gt;0),R40/S40,"")</f>
        <v/>
      </c>
      <c r="X40" s="24">
        <f>IF(AND(ISNUMBER(S40),S40&gt;0,ISNUMBER(T40)),T40/S40,"")</f>
        <v/>
      </c>
      <c r="Y40" s="8">
        <f>IF(A40="","",IF(N(R40)&lt;Settings!$B$4*Settings!$B$6,"Testing",IF(N(T40)=0,"Kill",IF(V40&lt;=Settings!$B$4,"Winner",IF(V40&lt;=Settings!$B$4*Settings!$B$5,"Watch","Kill")))))</f>
        <v/>
      </c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5" t="n"/>
      <c r="S41" s="2" t="n"/>
      <c r="T41" s="2" t="n"/>
      <c r="U41" s="10" t="n"/>
      <c r="V41" s="23">
        <f>IF(AND(ISNUMBER(T41),T41&gt;0),R41/T41,"")</f>
        <v/>
      </c>
      <c r="W41" s="23">
        <f>IF(AND(ISNUMBER(S41),S41&gt;0),R41/S41,"")</f>
        <v/>
      </c>
      <c r="X41" s="24">
        <f>IF(AND(ISNUMBER(S41),S41&gt;0,ISNUMBER(T41)),T41/S41,"")</f>
        <v/>
      </c>
      <c r="Y41" s="8">
        <f>IF(A41="","",IF(N(R41)&lt;Settings!$B$4*Settings!$B$6,"Testing",IF(N(T41)=0,"Kill",IF(V41&lt;=Settings!$B$4,"Winner",IF(V41&lt;=Settings!$B$4*Settings!$B$5,"Watch","Kill")))))</f>
        <v/>
      </c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5" t="n"/>
      <c r="S42" s="2" t="n"/>
      <c r="T42" s="2" t="n"/>
      <c r="U42" s="10" t="n"/>
      <c r="V42" s="23">
        <f>IF(AND(ISNUMBER(T42),T42&gt;0),R42/T42,"")</f>
        <v/>
      </c>
      <c r="W42" s="23">
        <f>IF(AND(ISNUMBER(S42),S42&gt;0),R42/S42,"")</f>
        <v/>
      </c>
      <c r="X42" s="24">
        <f>IF(AND(ISNUMBER(S42),S42&gt;0,ISNUMBER(T42)),T42/S42,"")</f>
        <v/>
      </c>
      <c r="Y42" s="8">
        <f>IF(A42="","",IF(N(R42)&lt;Settings!$B$4*Settings!$B$6,"Testing",IF(N(T42)=0,"Kill",IF(V42&lt;=Settings!$B$4,"Winner",IF(V42&lt;=Settings!$B$4*Settings!$B$5,"Watch","Kill")))))</f>
        <v/>
      </c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5" t="n"/>
      <c r="S43" s="2" t="n"/>
      <c r="T43" s="2" t="n"/>
      <c r="U43" s="10" t="n"/>
      <c r="V43" s="23">
        <f>IF(AND(ISNUMBER(T43),T43&gt;0),R43/T43,"")</f>
        <v/>
      </c>
      <c r="W43" s="23">
        <f>IF(AND(ISNUMBER(S43),S43&gt;0),R43/S43,"")</f>
        <v/>
      </c>
      <c r="X43" s="24">
        <f>IF(AND(ISNUMBER(S43),S43&gt;0,ISNUMBER(T43)),T43/S43,"")</f>
        <v/>
      </c>
      <c r="Y43" s="8">
        <f>IF(A43="","",IF(N(R43)&lt;Settings!$B$4*Settings!$B$6,"Testing",IF(N(T43)=0,"Kill",IF(V43&lt;=Settings!$B$4,"Winner",IF(V43&lt;=Settings!$B$4*Settings!$B$5,"Watch","Kill")))))</f>
        <v/>
      </c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5" t="n"/>
      <c r="S44" s="2" t="n"/>
      <c r="T44" s="2" t="n"/>
      <c r="U44" s="10" t="n"/>
      <c r="V44" s="23">
        <f>IF(AND(ISNUMBER(T44),T44&gt;0),R44/T44,"")</f>
        <v/>
      </c>
      <c r="W44" s="23">
        <f>IF(AND(ISNUMBER(S44),S44&gt;0),R44/S44,"")</f>
        <v/>
      </c>
      <c r="X44" s="24">
        <f>IF(AND(ISNUMBER(S44),S44&gt;0,ISNUMBER(T44)),T44/S44,"")</f>
        <v/>
      </c>
      <c r="Y44" s="8">
        <f>IF(A44="","",IF(N(R44)&lt;Settings!$B$4*Settings!$B$6,"Testing",IF(N(T44)=0,"Kill",IF(V44&lt;=Settings!$B$4,"Winner",IF(V44&lt;=Settings!$B$4*Settings!$B$5,"Watch","Kill")))))</f>
        <v/>
      </c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5" t="n"/>
      <c r="S45" s="2" t="n"/>
      <c r="T45" s="2" t="n"/>
      <c r="U45" s="10" t="n"/>
      <c r="V45" s="23">
        <f>IF(AND(ISNUMBER(T45),T45&gt;0),R45/T45,"")</f>
        <v/>
      </c>
      <c r="W45" s="23">
        <f>IF(AND(ISNUMBER(S45),S45&gt;0),R45/S45,"")</f>
        <v/>
      </c>
      <c r="X45" s="24">
        <f>IF(AND(ISNUMBER(S45),S45&gt;0,ISNUMBER(T45)),T45/S45,"")</f>
        <v/>
      </c>
      <c r="Y45" s="8">
        <f>IF(A45="","",IF(N(R45)&lt;Settings!$B$4*Settings!$B$6,"Testing",IF(N(T45)=0,"Kill",IF(V45&lt;=Settings!$B$4,"Winner",IF(V45&lt;=Settings!$B$4*Settings!$B$5,"Watch","Kill")))))</f>
        <v/>
      </c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5" t="n"/>
      <c r="S46" s="2" t="n"/>
      <c r="T46" s="2" t="n"/>
      <c r="U46" s="10" t="n"/>
      <c r="V46" s="23">
        <f>IF(AND(ISNUMBER(T46),T46&gt;0),R46/T46,"")</f>
        <v/>
      </c>
      <c r="W46" s="23">
        <f>IF(AND(ISNUMBER(S46),S46&gt;0),R46/S46,"")</f>
        <v/>
      </c>
      <c r="X46" s="24">
        <f>IF(AND(ISNUMBER(S46),S46&gt;0,ISNUMBER(T46)),T46/S46,"")</f>
        <v/>
      </c>
      <c r="Y46" s="8">
        <f>IF(A46="","",IF(N(R46)&lt;Settings!$B$4*Settings!$B$6,"Testing",IF(N(T46)=0,"Kill",IF(V46&lt;=Settings!$B$4,"Winner",IF(V46&lt;=Settings!$B$4*Settings!$B$5,"Watch","Kill")))))</f>
        <v/>
      </c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5" t="n"/>
      <c r="S47" s="2" t="n"/>
      <c r="T47" s="2" t="n"/>
      <c r="U47" s="10" t="n"/>
      <c r="V47" s="23">
        <f>IF(AND(ISNUMBER(T47),T47&gt;0),R47/T47,"")</f>
        <v/>
      </c>
      <c r="W47" s="23">
        <f>IF(AND(ISNUMBER(S47),S47&gt;0),R47/S47,"")</f>
        <v/>
      </c>
      <c r="X47" s="24">
        <f>IF(AND(ISNUMBER(S47),S47&gt;0,ISNUMBER(T47)),T47/S47,"")</f>
        <v/>
      </c>
      <c r="Y47" s="8">
        <f>IF(A47="","",IF(N(R47)&lt;Settings!$B$4*Settings!$B$6,"Testing",IF(N(T47)=0,"Kill",IF(V47&lt;=Settings!$B$4,"Winner",IF(V47&lt;=Settings!$B$4*Settings!$B$5,"Watch","Kill")))))</f>
        <v/>
      </c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5" t="n"/>
      <c r="S48" s="2" t="n"/>
      <c r="T48" s="2" t="n"/>
      <c r="U48" s="10" t="n"/>
      <c r="V48" s="23">
        <f>IF(AND(ISNUMBER(T48),T48&gt;0),R48/T48,"")</f>
        <v/>
      </c>
      <c r="W48" s="23">
        <f>IF(AND(ISNUMBER(S48),S48&gt;0),R48/S48,"")</f>
        <v/>
      </c>
      <c r="X48" s="24">
        <f>IF(AND(ISNUMBER(S48),S48&gt;0,ISNUMBER(T48)),T48/S48,"")</f>
        <v/>
      </c>
      <c r="Y48" s="8">
        <f>IF(A48="","",IF(N(R48)&lt;Settings!$B$4*Settings!$B$6,"Testing",IF(N(T48)=0,"Kill",IF(V48&lt;=Settings!$B$4,"Winner",IF(V48&lt;=Settings!$B$4*Settings!$B$5,"Watch","Kill")))))</f>
        <v/>
      </c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5" t="n"/>
      <c r="S49" s="2" t="n"/>
      <c r="T49" s="2" t="n"/>
      <c r="U49" s="10" t="n"/>
      <c r="V49" s="23">
        <f>IF(AND(ISNUMBER(T49),T49&gt;0),R49/T49,"")</f>
        <v/>
      </c>
      <c r="W49" s="23">
        <f>IF(AND(ISNUMBER(S49),S49&gt;0),R49/S49,"")</f>
        <v/>
      </c>
      <c r="X49" s="24">
        <f>IF(AND(ISNUMBER(S49),S49&gt;0,ISNUMBER(T49)),T49/S49,"")</f>
        <v/>
      </c>
      <c r="Y49" s="8">
        <f>IF(A49="","",IF(N(R49)&lt;Settings!$B$4*Settings!$B$6,"Testing",IF(N(T49)=0,"Kill",IF(V49&lt;=Settings!$B$4,"Winner",IF(V49&lt;=Settings!$B$4*Settings!$B$5,"Watch","Kill")))))</f>
        <v/>
      </c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5" t="n"/>
      <c r="S50" s="2" t="n"/>
      <c r="T50" s="2" t="n"/>
      <c r="U50" s="10" t="n"/>
      <c r="V50" s="23">
        <f>IF(AND(ISNUMBER(T50),T50&gt;0),R50/T50,"")</f>
        <v/>
      </c>
      <c r="W50" s="23">
        <f>IF(AND(ISNUMBER(S50),S50&gt;0),R50/S50,"")</f>
        <v/>
      </c>
      <c r="X50" s="24">
        <f>IF(AND(ISNUMBER(S50),S50&gt;0,ISNUMBER(T50)),T50/S50,"")</f>
        <v/>
      </c>
      <c r="Y50" s="8">
        <f>IF(A50="","",IF(N(R50)&lt;Settings!$B$4*Settings!$B$6,"Testing",IF(N(T50)=0,"Kill",IF(V50&lt;=Settings!$B$4,"Winner",IF(V50&lt;=Settings!$B$4*Settings!$B$5,"Watch","Kill")))))</f>
        <v/>
      </c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5" t="n"/>
      <c r="S51" s="2" t="n"/>
      <c r="T51" s="2" t="n"/>
      <c r="U51" s="10" t="n"/>
      <c r="V51" s="23">
        <f>IF(AND(ISNUMBER(T51),T51&gt;0),R51/T51,"")</f>
        <v/>
      </c>
      <c r="W51" s="23">
        <f>IF(AND(ISNUMBER(S51),S51&gt;0),R51/S51,"")</f>
        <v/>
      </c>
      <c r="X51" s="24">
        <f>IF(AND(ISNUMBER(S51),S51&gt;0,ISNUMBER(T51)),T51/S51,"")</f>
        <v/>
      </c>
      <c r="Y51" s="8">
        <f>IF(A51="","",IF(N(R51)&lt;Settings!$B$4*Settings!$B$6,"Testing",IF(N(T51)=0,"Kill",IF(V51&lt;=Settings!$B$4,"Winner",IF(V51&lt;=Settings!$B$4*Settings!$B$5,"Watch","Kill")))))</f>
        <v/>
      </c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5" t="n"/>
      <c r="S52" s="2" t="n"/>
      <c r="T52" s="2" t="n"/>
      <c r="U52" s="10" t="n"/>
      <c r="V52" s="23">
        <f>IF(AND(ISNUMBER(T52),T52&gt;0),R52/T52,"")</f>
        <v/>
      </c>
      <c r="W52" s="23">
        <f>IF(AND(ISNUMBER(S52),S52&gt;0),R52/S52,"")</f>
        <v/>
      </c>
      <c r="X52" s="24">
        <f>IF(AND(ISNUMBER(S52),S52&gt;0,ISNUMBER(T52)),T52/S52,"")</f>
        <v/>
      </c>
      <c r="Y52" s="8">
        <f>IF(A52="","",IF(N(R52)&lt;Settings!$B$4*Settings!$B$6,"Testing",IF(N(T52)=0,"Kill",IF(V52&lt;=Settings!$B$4,"Winner",IF(V52&lt;=Settings!$B$4*Settings!$B$5,"Watch","Kill")))))</f>
        <v/>
      </c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5" t="n"/>
      <c r="S53" s="2" t="n"/>
      <c r="T53" s="2" t="n"/>
      <c r="U53" s="10" t="n"/>
      <c r="V53" s="23">
        <f>IF(AND(ISNUMBER(T53),T53&gt;0),R53/T53,"")</f>
        <v/>
      </c>
      <c r="W53" s="23">
        <f>IF(AND(ISNUMBER(S53),S53&gt;0),R53/S53,"")</f>
        <v/>
      </c>
      <c r="X53" s="24">
        <f>IF(AND(ISNUMBER(S53),S53&gt;0,ISNUMBER(T53)),T53/S53,"")</f>
        <v/>
      </c>
      <c r="Y53" s="8">
        <f>IF(A53="","",IF(N(R53)&lt;Settings!$B$4*Settings!$B$6,"Testing",IF(N(T53)=0,"Kill",IF(V53&lt;=Settings!$B$4,"Winner",IF(V53&lt;=Settings!$B$4*Settings!$B$5,"Watch","Kill")))))</f>
        <v/>
      </c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5" t="n"/>
      <c r="S54" s="2" t="n"/>
      <c r="T54" s="2" t="n"/>
      <c r="U54" s="10" t="n"/>
      <c r="V54" s="23">
        <f>IF(AND(ISNUMBER(T54),T54&gt;0),R54/T54,"")</f>
        <v/>
      </c>
      <c r="W54" s="23">
        <f>IF(AND(ISNUMBER(S54),S54&gt;0),R54/S54,"")</f>
        <v/>
      </c>
      <c r="X54" s="24">
        <f>IF(AND(ISNUMBER(S54),S54&gt;0,ISNUMBER(T54)),T54/S54,"")</f>
        <v/>
      </c>
      <c r="Y54" s="8">
        <f>IF(A54="","",IF(N(R54)&lt;Settings!$B$4*Settings!$B$6,"Testing",IF(N(T54)=0,"Kill",IF(V54&lt;=Settings!$B$4,"Winner",IF(V54&lt;=Settings!$B$4*Settings!$B$5,"Watch","Kill")))))</f>
        <v/>
      </c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5" t="n"/>
      <c r="S55" s="2" t="n"/>
      <c r="T55" s="2" t="n"/>
      <c r="U55" s="10" t="n"/>
      <c r="V55" s="23">
        <f>IF(AND(ISNUMBER(T55),T55&gt;0),R55/T55,"")</f>
        <v/>
      </c>
      <c r="W55" s="23">
        <f>IF(AND(ISNUMBER(S55),S55&gt;0),R55/S55,"")</f>
        <v/>
      </c>
      <c r="X55" s="24">
        <f>IF(AND(ISNUMBER(S55),S55&gt;0,ISNUMBER(T55)),T55/S55,"")</f>
        <v/>
      </c>
      <c r="Y55" s="8">
        <f>IF(A55="","",IF(N(R55)&lt;Settings!$B$4*Settings!$B$6,"Testing",IF(N(T55)=0,"Kill",IF(V55&lt;=Settings!$B$4,"Winner",IF(V55&lt;=Settings!$B$4*Settings!$B$5,"Watch","Kill")))))</f>
        <v/>
      </c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5" t="n"/>
      <c r="S56" s="2" t="n"/>
      <c r="T56" s="2" t="n"/>
      <c r="U56" s="10" t="n"/>
      <c r="V56" s="23">
        <f>IF(AND(ISNUMBER(T56),T56&gt;0),R56/T56,"")</f>
        <v/>
      </c>
      <c r="W56" s="23">
        <f>IF(AND(ISNUMBER(S56),S56&gt;0),R56/S56,"")</f>
        <v/>
      </c>
      <c r="X56" s="24">
        <f>IF(AND(ISNUMBER(S56),S56&gt;0,ISNUMBER(T56)),T56/S56,"")</f>
        <v/>
      </c>
      <c r="Y56" s="8">
        <f>IF(A56="","",IF(N(R56)&lt;Settings!$B$4*Settings!$B$6,"Testing",IF(N(T56)=0,"Kill",IF(V56&lt;=Settings!$B$4,"Winner",IF(V56&lt;=Settings!$B$4*Settings!$B$5,"Watch","Kill")))))</f>
        <v/>
      </c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5" t="n"/>
      <c r="S57" s="2" t="n"/>
      <c r="T57" s="2" t="n"/>
      <c r="U57" s="10" t="n"/>
      <c r="V57" s="23">
        <f>IF(AND(ISNUMBER(T57),T57&gt;0),R57/T57,"")</f>
        <v/>
      </c>
      <c r="W57" s="23">
        <f>IF(AND(ISNUMBER(S57),S57&gt;0),R57/S57,"")</f>
        <v/>
      </c>
      <c r="X57" s="24">
        <f>IF(AND(ISNUMBER(S57),S57&gt;0,ISNUMBER(T57)),T57/S57,"")</f>
        <v/>
      </c>
      <c r="Y57" s="8">
        <f>IF(A57="","",IF(N(R57)&lt;Settings!$B$4*Settings!$B$6,"Testing",IF(N(T57)=0,"Kill",IF(V57&lt;=Settings!$B$4,"Winner",IF(V57&lt;=Settings!$B$4*Settings!$B$5,"Watch","Kill")))))</f>
        <v/>
      </c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5" t="n"/>
      <c r="S58" s="2" t="n"/>
      <c r="T58" s="2" t="n"/>
      <c r="U58" s="10" t="n"/>
      <c r="V58" s="23">
        <f>IF(AND(ISNUMBER(T58),T58&gt;0),R58/T58,"")</f>
        <v/>
      </c>
      <c r="W58" s="23">
        <f>IF(AND(ISNUMBER(S58),S58&gt;0),R58/S58,"")</f>
        <v/>
      </c>
      <c r="X58" s="24">
        <f>IF(AND(ISNUMBER(S58),S58&gt;0,ISNUMBER(T58)),T58/S58,"")</f>
        <v/>
      </c>
      <c r="Y58" s="8">
        <f>IF(A58="","",IF(N(R58)&lt;Settings!$B$4*Settings!$B$6,"Testing",IF(N(T58)=0,"Kill",IF(V58&lt;=Settings!$B$4,"Winner",IF(V58&lt;=Settings!$B$4*Settings!$B$5,"Watch","Kill")))))</f>
        <v/>
      </c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5" t="n"/>
      <c r="S59" s="2" t="n"/>
      <c r="T59" s="2" t="n"/>
      <c r="U59" s="10" t="n"/>
      <c r="V59" s="23">
        <f>IF(AND(ISNUMBER(T59),T59&gt;0),R59/T59,"")</f>
        <v/>
      </c>
      <c r="W59" s="23">
        <f>IF(AND(ISNUMBER(S59),S59&gt;0),R59/S59,"")</f>
        <v/>
      </c>
      <c r="X59" s="24">
        <f>IF(AND(ISNUMBER(S59),S59&gt;0,ISNUMBER(T59)),T59/S59,"")</f>
        <v/>
      </c>
      <c r="Y59" s="8">
        <f>IF(A59="","",IF(N(R59)&lt;Settings!$B$4*Settings!$B$6,"Testing",IF(N(T59)=0,"Kill",IF(V59&lt;=Settings!$B$4,"Winner",IF(V59&lt;=Settings!$B$4*Settings!$B$5,"Watch","Kill")))))</f>
        <v/>
      </c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5" t="n"/>
      <c r="S60" s="2" t="n"/>
      <c r="T60" s="2" t="n"/>
      <c r="U60" s="10" t="n"/>
      <c r="V60" s="23">
        <f>IF(AND(ISNUMBER(T60),T60&gt;0),R60/T60,"")</f>
        <v/>
      </c>
      <c r="W60" s="23">
        <f>IF(AND(ISNUMBER(S60),S60&gt;0),R60/S60,"")</f>
        <v/>
      </c>
      <c r="X60" s="24">
        <f>IF(AND(ISNUMBER(S60),S60&gt;0,ISNUMBER(T60)),T60/S60,"")</f>
        <v/>
      </c>
      <c r="Y60" s="8">
        <f>IF(A60="","",IF(N(R60)&lt;Settings!$B$4*Settings!$B$6,"Testing",IF(N(T60)=0,"Kill",IF(V60&lt;=Settings!$B$4,"Winner",IF(V60&lt;=Settings!$B$4*Settings!$B$5,"Watch","Kill")))))</f>
        <v/>
      </c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5" t="n"/>
      <c r="S61" s="2" t="n"/>
      <c r="T61" s="2" t="n"/>
      <c r="U61" s="10" t="n"/>
      <c r="V61" s="23">
        <f>IF(AND(ISNUMBER(T61),T61&gt;0),R61/T61,"")</f>
        <v/>
      </c>
      <c r="W61" s="23">
        <f>IF(AND(ISNUMBER(S61),S61&gt;0),R61/S61,"")</f>
        <v/>
      </c>
      <c r="X61" s="24">
        <f>IF(AND(ISNUMBER(S61),S61&gt;0,ISNUMBER(T61)),T61/S61,"")</f>
        <v/>
      </c>
      <c r="Y61" s="8">
        <f>IF(A61="","",IF(N(R61)&lt;Settings!$B$4*Settings!$B$6,"Testing",IF(N(T61)=0,"Kill",IF(V61&lt;=Settings!$B$4,"Winner",IF(V61&lt;=Settings!$B$4*Settings!$B$5,"Watch","Kill")))))</f>
        <v/>
      </c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5" t="n"/>
      <c r="S62" s="2" t="n"/>
      <c r="T62" s="2" t="n"/>
      <c r="U62" s="10" t="n"/>
      <c r="V62" s="23">
        <f>IF(AND(ISNUMBER(T62),T62&gt;0),R62/T62,"")</f>
        <v/>
      </c>
      <c r="W62" s="23">
        <f>IF(AND(ISNUMBER(S62),S62&gt;0),R62/S62,"")</f>
        <v/>
      </c>
      <c r="X62" s="24">
        <f>IF(AND(ISNUMBER(S62),S62&gt;0,ISNUMBER(T62)),T62/S62,"")</f>
        <v/>
      </c>
      <c r="Y62" s="8">
        <f>IF(A62="","",IF(N(R62)&lt;Settings!$B$4*Settings!$B$6,"Testing",IF(N(T62)=0,"Kill",IF(V62&lt;=Settings!$B$4,"Winner",IF(V62&lt;=Settings!$B$4*Settings!$B$5,"Watch","Kill")))))</f>
        <v/>
      </c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5" t="n"/>
      <c r="S63" s="2" t="n"/>
      <c r="T63" s="2" t="n"/>
      <c r="U63" s="10" t="n"/>
      <c r="V63" s="23">
        <f>IF(AND(ISNUMBER(T63),T63&gt;0),R63/T63,"")</f>
        <v/>
      </c>
      <c r="W63" s="23">
        <f>IF(AND(ISNUMBER(S63),S63&gt;0),R63/S63,"")</f>
        <v/>
      </c>
      <c r="X63" s="24">
        <f>IF(AND(ISNUMBER(S63),S63&gt;0,ISNUMBER(T63)),T63/S63,"")</f>
        <v/>
      </c>
      <c r="Y63" s="8">
        <f>IF(A63="","",IF(N(R63)&lt;Settings!$B$4*Settings!$B$6,"Testing",IF(N(T63)=0,"Kill",IF(V63&lt;=Settings!$B$4,"Winner",IF(V63&lt;=Settings!$B$4*Settings!$B$5,"Watch","Kill")))))</f>
        <v/>
      </c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5" t="n"/>
      <c r="S64" s="2" t="n"/>
      <c r="T64" s="2" t="n"/>
      <c r="U64" s="10" t="n"/>
      <c r="V64" s="23">
        <f>IF(AND(ISNUMBER(T64),T64&gt;0),R64/T64,"")</f>
        <v/>
      </c>
      <c r="W64" s="23">
        <f>IF(AND(ISNUMBER(S64),S64&gt;0),R64/S64,"")</f>
        <v/>
      </c>
      <c r="X64" s="24">
        <f>IF(AND(ISNUMBER(S64),S64&gt;0,ISNUMBER(T64)),T64/S64,"")</f>
        <v/>
      </c>
      <c r="Y64" s="8">
        <f>IF(A64="","",IF(N(R64)&lt;Settings!$B$4*Settings!$B$6,"Testing",IF(N(T64)=0,"Kill",IF(V64&lt;=Settings!$B$4,"Winner",IF(V64&lt;=Settings!$B$4*Settings!$B$5,"Watch","Kill")))))</f>
        <v/>
      </c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5" t="n"/>
      <c r="S65" s="2" t="n"/>
      <c r="T65" s="2" t="n"/>
      <c r="U65" s="10" t="n"/>
      <c r="V65" s="23">
        <f>IF(AND(ISNUMBER(T65),T65&gt;0),R65/T65,"")</f>
        <v/>
      </c>
      <c r="W65" s="23">
        <f>IF(AND(ISNUMBER(S65),S65&gt;0),R65/S65,"")</f>
        <v/>
      </c>
      <c r="X65" s="24">
        <f>IF(AND(ISNUMBER(S65),S65&gt;0,ISNUMBER(T65)),T65/S65,"")</f>
        <v/>
      </c>
      <c r="Y65" s="8">
        <f>IF(A65="","",IF(N(R65)&lt;Settings!$B$4*Settings!$B$6,"Testing",IF(N(T65)=0,"Kill",IF(V65&lt;=Settings!$B$4,"Winner",IF(V65&lt;=Settings!$B$4*Settings!$B$5,"Watch","Kill")))))</f>
        <v/>
      </c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5" t="n"/>
      <c r="S66" s="2" t="n"/>
      <c r="T66" s="2" t="n"/>
      <c r="U66" s="10" t="n"/>
      <c r="V66" s="23">
        <f>IF(AND(ISNUMBER(T66),T66&gt;0),R66/T66,"")</f>
        <v/>
      </c>
      <c r="W66" s="23">
        <f>IF(AND(ISNUMBER(S66),S66&gt;0),R66/S66,"")</f>
        <v/>
      </c>
      <c r="X66" s="24">
        <f>IF(AND(ISNUMBER(S66),S66&gt;0,ISNUMBER(T66)),T66/S66,"")</f>
        <v/>
      </c>
      <c r="Y66" s="8">
        <f>IF(A66="","",IF(N(R66)&lt;Settings!$B$4*Settings!$B$6,"Testing",IF(N(T66)=0,"Kill",IF(V66&lt;=Settings!$B$4,"Winner",IF(V66&lt;=Settings!$B$4*Settings!$B$5,"Watch","Kill")))))</f>
        <v/>
      </c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5" t="n"/>
      <c r="S67" s="2" t="n"/>
      <c r="T67" s="2" t="n"/>
      <c r="U67" s="10" t="n"/>
      <c r="V67" s="23">
        <f>IF(AND(ISNUMBER(T67),T67&gt;0),R67/T67,"")</f>
        <v/>
      </c>
      <c r="W67" s="23">
        <f>IF(AND(ISNUMBER(S67),S67&gt;0),R67/S67,"")</f>
        <v/>
      </c>
      <c r="X67" s="24">
        <f>IF(AND(ISNUMBER(S67),S67&gt;0,ISNUMBER(T67)),T67/S67,"")</f>
        <v/>
      </c>
      <c r="Y67" s="8">
        <f>IF(A67="","",IF(N(R67)&lt;Settings!$B$4*Settings!$B$6,"Testing",IF(N(T67)=0,"Kill",IF(V67&lt;=Settings!$B$4,"Winner",IF(V67&lt;=Settings!$B$4*Settings!$B$5,"Watch","Kill")))))</f>
        <v/>
      </c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5" t="n"/>
      <c r="S68" s="2" t="n"/>
      <c r="T68" s="2" t="n"/>
      <c r="U68" s="10" t="n"/>
      <c r="V68" s="23">
        <f>IF(AND(ISNUMBER(T68),T68&gt;0),R68/T68,"")</f>
        <v/>
      </c>
      <c r="W68" s="23">
        <f>IF(AND(ISNUMBER(S68),S68&gt;0),R68/S68,"")</f>
        <v/>
      </c>
      <c r="X68" s="24">
        <f>IF(AND(ISNUMBER(S68),S68&gt;0,ISNUMBER(T68)),T68/S68,"")</f>
        <v/>
      </c>
      <c r="Y68" s="8">
        <f>IF(A68="","",IF(N(R68)&lt;Settings!$B$4*Settings!$B$6,"Testing",IF(N(T68)=0,"Kill",IF(V68&lt;=Settings!$B$4,"Winner",IF(V68&lt;=Settings!$B$4*Settings!$B$5,"Watch","Kill")))))</f>
        <v/>
      </c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5" t="n"/>
      <c r="S69" s="2" t="n"/>
      <c r="T69" s="2" t="n"/>
      <c r="U69" s="10" t="n"/>
      <c r="V69" s="23">
        <f>IF(AND(ISNUMBER(T69),T69&gt;0),R69/T69,"")</f>
        <v/>
      </c>
      <c r="W69" s="23">
        <f>IF(AND(ISNUMBER(S69),S69&gt;0),R69/S69,"")</f>
        <v/>
      </c>
      <c r="X69" s="24">
        <f>IF(AND(ISNUMBER(S69),S69&gt;0,ISNUMBER(T69)),T69/S69,"")</f>
        <v/>
      </c>
      <c r="Y69" s="8">
        <f>IF(A69="","",IF(N(R69)&lt;Settings!$B$4*Settings!$B$6,"Testing",IF(N(T69)=0,"Kill",IF(V69&lt;=Settings!$B$4,"Winner",IF(V69&lt;=Settings!$B$4*Settings!$B$5,"Watch","Kill")))))</f>
        <v/>
      </c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5" t="n"/>
      <c r="S70" s="2" t="n"/>
      <c r="T70" s="2" t="n"/>
      <c r="U70" s="10" t="n"/>
      <c r="V70" s="23">
        <f>IF(AND(ISNUMBER(T70),T70&gt;0),R70/T70,"")</f>
        <v/>
      </c>
      <c r="W70" s="23">
        <f>IF(AND(ISNUMBER(S70),S70&gt;0),R70/S70,"")</f>
        <v/>
      </c>
      <c r="X70" s="24">
        <f>IF(AND(ISNUMBER(S70),S70&gt;0,ISNUMBER(T70)),T70/S70,"")</f>
        <v/>
      </c>
      <c r="Y70" s="8">
        <f>IF(A70="","",IF(N(R70)&lt;Settings!$B$4*Settings!$B$6,"Testing",IF(N(T70)=0,"Kill",IF(V70&lt;=Settings!$B$4,"Winner",IF(V70&lt;=Settings!$B$4*Settings!$B$5,"Watch","Kill")))))</f>
        <v/>
      </c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5" t="n"/>
      <c r="S71" s="2" t="n"/>
      <c r="T71" s="2" t="n"/>
      <c r="U71" s="10" t="n"/>
      <c r="V71" s="23">
        <f>IF(AND(ISNUMBER(T71),T71&gt;0),R71/T71,"")</f>
        <v/>
      </c>
      <c r="W71" s="23">
        <f>IF(AND(ISNUMBER(S71),S71&gt;0),R71/S71,"")</f>
        <v/>
      </c>
      <c r="X71" s="24">
        <f>IF(AND(ISNUMBER(S71),S71&gt;0,ISNUMBER(T71)),T71/S71,"")</f>
        <v/>
      </c>
      <c r="Y71" s="8">
        <f>IF(A71="","",IF(N(R71)&lt;Settings!$B$4*Settings!$B$6,"Testing",IF(N(T71)=0,"Kill",IF(V71&lt;=Settings!$B$4,"Winner",IF(V71&lt;=Settings!$B$4*Settings!$B$5,"Watch","Kill")))))</f>
        <v/>
      </c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5" t="n"/>
      <c r="S72" s="2" t="n"/>
      <c r="T72" s="2" t="n"/>
      <c r="U72" s="10" t="n"/>
      <c r="V72" s="23">
        <f>IF(AND(ISNUMBER(T72),T72&gt;0),R72/T72,"")</f>
        <v/>
      </c>
      <c r="W72" s="23">
        <f>IF(AND(ISNUMBER(S72),S72&gt;0),R72/S72,"")</f>
        <v/>
      </c>
      <c r="X72" s="24">
        <f>IF(AND(ISNUMBER(S72),S72&gt;0,ISNUMBER(T72)),T72/S72,"")</f>
        <v/>
      </c>
      <c r="Y72" s="8">
        <f>IF(A72="","",IF(N(R72)&lt;Settings!$B$4*Settings!$B$6,"Testing",IF(N(T72)=0,"Kill",IF(V72&lt;=Settings!$B$4,"Winner",IF(V72&lt;=Settings!$B$4*Settings!$B$5,"Watch","Kill")))))</f>
        <v/>
      </c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5" t="n"/>
      <c r="S73" s="2" t="n"/>
      <c r="T73" s="2" t="n"/>
      <c r="U73" s="10" t="n"/>
      <c r="V73" s="23">
        <f>IF(AND(ISNUMBER(T73),T73&gt;0),R73/T73,"")</f>
        <v/>
      </c>
      <c r="W73" s="23">
        <f>IF(AND(ISNUMBER(S73),S73&gt;0),R73/S73,"")</f>
        <v/>
      </c>
      <c r="X73" s="24">
        <f>IF(AND(ISNUMBER(S73),S73&gt;0,ISNUMBER(T73)),T73/S73,"")</f>
        <v/>
      </c>
      <c r="Y73" s="8">
        <f>IF(A73="","",IF(N(R73)&lt;Settings!$B$4*Settings!$B$6,"Testing",IF(N(T73)=0,"Kill",IF(V73&lt;=Settings!$B$4,"Winner",IF(V73&lt;=Settings!$B$4*Settings!$B$5,"Watch","Kill")))))</f>
        <v/>
      </c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5" t="n"/>
      <c r="S74" s="2" t="n"/>
      <c r="T74" s="2" t="n"/>
      <c r="U74" s="10" t="n"/>
      <c r="V74" s="23">
        <f>IF(AND(ISNUMBER(T74),T74&gt;0),R74/T74,"")</f>
        <v/>
      </c>
      <c r="W74" s="23">
        <f>IF(AND(ISNUMBER(S74),S74&gt;0),R74/S74,"")</f>
        <v/>
      </c>
      <c r="X74" s="24">
        <f>IF(AND(ISNUMBER(S74),S74&gt;0,ISNUMBER(T74)),T74/S74,"")</f>
        <v/>
      </c>
      <c r="Y74" s="8">
        <f>IF(A74="","",IF(N(R74)&lt;Settings!$B$4*Settings!$B$6,"Testing",IF(N(T74)=0,"Kill",IF(V74&lt;=Settings!$B$4,"Winner",IF(V74&lt;=Settings!$B$4*Settings!$B$5,"Watch","Kill")))))</f>
        <v/>
      </c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5" t="n"/>
      <c r="S75" s="2" t="n"/>
      <c r="T75" s="2" t="n"/>
      <c r="U75" s="10" t="n"/>
      <c r="V75" s="23">
        <f>IF(AND(ISNUMBER(T75),T75&gt;0),R75/T75,"")</f>
        <v/>
      </c>
      <c r="W75" s="23">
        <f>IF(AND(ISNUMBER(S75),S75&gt;0),R75/S75,"")</f>
        <v/>
      </c>
      <c r="X75" s="24">
        <f>IF(AND(ISNUMBER(S75),S75&gt;0,ISNUMBER(T75)),T75/S75,"")</f>
        <v/>
      </c>
      <c r="Y75" s="8">
        <f>IF(A75="","",IF(N(R75)&lt;Settings!$B$4*Settings!$B$6,"Testing",IF(N(T75)=0,"Kill",IF(V75&lt;=Settings!$B$4,"Winner",IF(V75&lt;=Settings!$B$4*Settings!$B$5,"Watch","Kill")))))</f>
        <v/>
      </c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5" t="n"/>
      <c r="S76" s="2" t="n"/>
      <c r="T76" s="2" t="n"/>
      <c r="U76" s="10" t="n"/>
      <c r="V76" s="23">
        <f>IF(AND(ISNUMBER(T76),T76&gt;0),R76/T76,"")</f>
        <v/>
      </c>
      <c r="W76" s="23">
        <f>IF(AND(ISNUMBER(S76),S76&gt;0),R76/S76,"")</f>
        <v/>
      </c>
      <c r="X76" s="24">
        <f>IF(AND(ISNUMBER(S76),S76&gt;0,ISNUMBER(T76)),T76/S76,"")</f>
        <v/>
      </c>
      <c r="Y76" s="8">
        <f>IF(A76="","",IF(N(R76)&lt;Settings!$B$4*Settings!$B$6,"Testing",IF(N(T76)=0,"Kill",IF(V76&lt;=Settings!$B$4,"Winner",IF(V76&lt;=Settings!$B$4*Settings!$B$5,"Watch","Kill")))))</f>
        <v/>
      </c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5" t="n"/>
      <c r="S77" s="2" t="n"/>
      <c r="T77" s="2" t="n"/>
      <c r="U77" s="10" t="n"/>
      <c r="V77" s="23">
        <f>IF(AND(ISNUMBER(T77),T77&gt;0),R77/T77,"")</f>
        <v/>
      </c>
      <c r="W77" s="23">
        <f>IF(AND(ISNUMBER(S77),S77&gt;0),R77/S77,"")</f>
        <v/>
      </c>
      <c r="X77" s="24">
        <f>IF(AND(ISNUMBER(S77),S77&gt;0,ISNUMBER(T77)),T77/S77,"")</f>
        <v/>
      </c>
      <c r="Y77" s="8">
        <f>IF(A77="","",IF(N(R77)&lt;Settings!$B$4*Settings!$B$6,"Testing",IF(N(T77)=0,"Kill",IF(V77&lt;=Settings!$B$4,"Winner",IF(V77&lt;=Settings!$B$4*Settings!$B$5,"Watch","Kill")))))</f>
        <v/>
      </c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5" t="n"/>
      <c r="S78" s="2" t="n"/>
      <c r="T78" s="2" t="n"/>
      <c r="U78" s="10" t="n"/>
      <c r="V78" s="23">
        <f>IF(AND(ISNUMBER(T78),T78&gt;0),R78/T78,"")</f>
        <v/>
      </c>
      <c r="W78" s="23">
        <f>IF(AND(ISNUMBER(S78),S78&gt;0),R78/S78,"")</f>
        <v/>
      </c>
      <c r="X78" s="24">
        <f>IF(AND(ISNUMBER(S78),S78&gt;0,ISNUMBER(T78)),T78/S78,"")</f>
        <v/>
      </c>
      <c r="Y78" s="8">
        <f>IF(A78="","",IF(N(R78)&lt;Settings!$B$4*Settings!$B$6,"Testing",IF(N(T78)=0,"Kill",IF(V78&lt;=Settings!$B$4,"Winner",IF(V78&lt;=Settings!$B$4*Settings!$B$5,"Watch","Kill")))))</f>
        <v/>
      </c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5" t="n"/>
      <c r="S79" s="2" t="n"/>
      <c r="T79" s="2" t="n"/>
      <c r="U79" s="10" t="n"/>
      <c r="V79" s="23">
        <f>IF(AND(ISNUMBER(T79),T79&gt;0),R79/T79,"")</f>
        <v/>
      </c>
      <c r="W79" s="23">
        <f>IF(AND(ISNUMBER(S79),S79&gt;0),R79/S79,"")</f>
        <v/>
      </c>
      <c r="X79" s="24">
        <f>IF(AND(ISNUMBER(S79),S79&gt;0,ISNUMBER(T79)),T79/S79,"")</f>
        <v/>
      </c>
      <c r="Y79" s="8">
        <f>IF(A79="","",IF(N(R79)&lt;Settings!$B$4*Settings!$B$6,"Testing",IF(N(T79)=0,"Kill",IF(V79&lt;=Settings!$B$4,"Winner",IF(V79&lt;=Settings!$B$4*Settings!$B$5,"Watch","Kill")))))</f>
        <v/>
      </c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5" t="n"/>
      <c r="S80" s="2" t="n"/>
      <c r="T80" s="2" t="n"/>
      <c r="U80" s="10" t="n"/>
      <c r="V80" s="23">
        <f>IF(AND(ISNUMBER(T80),T80&gt;0),R80/T80,"")</f>
        <v/>
      </c>
      <c r="W80" s="23">
        <f>IF(AND(ISNUMBER(S80),S80&gt;0),R80/S80,"")</f>
        <v/>
      </c>
      <c r="X80" s="24">
        <f>IF(AND(ISNUMBER(S80),S80&gt;0,ISNUMBER(T80)),T80/S80,"")</f>
        <v/>
      </c>
      <c r="Y80" s="8">
        <f>IF(A80="","",IF(N(R80)&lt;Settings!$B$4*Settings!$B$6,"Testing",IF(N(T80)=0,"Kill",IF(V80&lt;=Settings!$B$4,"Winner",IF(V80&lt;=Settings!$B$4*Settings!$B$5,"Watch","Kill")))))</f>
        <v/>
      </c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5" t="n"/>
      <c r="S81" s="2" t="n"/>
      <c r="T81" s="2" t="n"/>
      <c r="U81" s="10" t="n"/>
      <c r="V81" s="23">
        <f>IF(AND(ISNUMBER(T81),T81&gt;0),R81/T81,"")</f>
        <v/>
      </c>
      <c r="W81" s="23">
        <f>IF(AND(ISNUMBER(S81),S81&gt;0),R81/S81,"")</f>
        <v/>
      </c>
      <c r="X81" s="24">
        <f>IF(AND(ISNUMBER(S81),S81&gt;0,ISNUMBER(T81)),T81/S81,"")</f>
        <v/>
      </c>
      <c r="Y81" s="8">
        <f>IF(A81="","",IF(N(R81)&lt;Settings!$B$4*Settings!$B$6,"Testing",IF(N(T81)=0,"Kill",IF(V81&lt;=Settings!$B$4,"Winner",IF(V81&lt;=Settings!$B$4*Settings!$B$5,"Watch","Kill")))))</f>
        <v/>
      </c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5" t="n"/>
      <c r="S82" s="2" t="n"/>
      <c r="T82" s="2" t="n"/>
      <c r="U82" s="10" t="n"/>
      <c r="V82" s="23">
        <f>IF(AND(ISNUMBER(T82),T82&gt;0),R82/T82,"")</f>
        <v/>
      </c>
      <c r="W82" s="23">
        <f>IF(AND(ISNUMBER(S82),S82&gt;0),R82/S82,"")</f>
        <v/>
      </c>
      <c r="X82" s="24">
        <f>IF(AND(ISNUMBER(S82),S82&gt;0,ISNUMBER(T82)),T82/S82,"")</f>
        <v/>
      </c>
      <c r="Y82" s="8">
        <f>IF(A82="","",IF(N(R82)&lt;Settings!$B$4*Settings!$B$6,"Testing",IF(N(T82)=0,"Kill",IF(V82&lt;=Settings!$B$4,"Winner",IF(V82&lt;=Settings!$B$4*Settings!$B$5,"Watch","Kill")))))</f>
        <v/>
      </c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5" t="n"/>
      <c r="S83" s="2" t="n"/>
      <c r="T83" s="2" t="n"/>
      <c r="U83" s="10" t="n"/>
      <c r="V83" s="23">
        <f>IF(AND(ISNUMBER(T83),T83&gt;0),R83/T83,"")</f>
        <v/>
      </c>
      <c r="W83" s="23">
        <f>IF(AND(ISNUMBER(S83),S83&gt;0),R83/S83,"")</f>
        <v/>
      </c>
      <c r="X83" s="24">
        <f>IF(AND(ISNUMBER(S83),S83&gt;0,ISNUMBER(T83)),T83/S83,"")</f>
        <v/>
      </c>
      <c r="Y83" s="8">
        <f>IF(A83="","",IF(N(R83)&lt;Settings!$B$4*Settings!$B$6,"Testing",IF(N(T83)=0,"Kill",IF(V83&lt;=Settings!$B$4,"Winner",IF(V83&lt;=Settings!$B$4*Settings!$B$5,"Watch","Kill")))))</f>
        <v/>
      </c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5" t="n"/>
      <c r="S84" s="2" t="n"/>
      <c r="T84" s="2" t="n"/>
      <c r="U84" s="10" t="n"/>
      <c r="V84" s="23">
        <f>IF(AND(ISNUMBER(T84),T84&gt;0),R84/T84,"")</f>
        <v/>
      </c>
      <c r="W84" s="23">
        <f>IF(AND(ISNUMBER(S84),S84&gt;0),R84/S84,"")</f>
        <v/>
      </c>
      <c r="X84" s="24">
        <f>IF(AND(ISNUMBER(S84),S84&gt;0,ISNUMBER(T84)),T84/S84,"")</f>
        <v/>
      </c>
      <c r="Y84" s="8">
        <f>IF(A84="","",IF(N(R84)&lt;Settings!$B$4*Settings!$B$6,"Testing",IF(N(T84)=0,"Kill",IF(V84&lt;=Settings!$B$4,"Winner",IF(V84&lt;=Settings!$B$4*Settings!$B$5,"Watch","Kill")))))</f>
        <v/>
      </c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5" t="n"/>
      <c r="S85" s="2" t="n"/>
      <c r="T85" s="2" t="n"/>
      <c r="U85" s="10" t="n"/>
      <c r="V85" s="23">
        <f>IF(AND(ISNUMBER(T85),T85&gt;0),R85/T85,"")</f>
        <v/>
      </c>
      <c r="W85" s="23">
        <f>IF(AND(ISNUMBER(S85),S85&gt;0),R85/S85,"")</f>
        <v/>
      </c>
      <c r="X85" s="24">
        <f>IF(AND(ISNUMBER(S85),S85&gt;0,ISNUMBER(T85)),T85/S85,"")</f>
        <v/>
      </c>
      <c r="Y85" s="8">
        <f>IF(A85="","",IF(N(R85)&lt;Settings!$B$4*Settings!$B$6,"Testing",IF(N(T85)=0,"Kill",IF(V85&lt;=Settings!$B$4,"Winner",IF(V85&lt;=Settings!$B$4*Settings!$B$5,"Watch","Kill")))))</f>
        <v/>
      </c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5" t="n"/>
      <c r="S86" s="2" t="n"/>
      <c r="T86" s="2" t="n"/>
      <c r="U86" s="10" t="n"/>
      <c r="V86" s="23">
        <f>IF(AND(ISNUMBER(T86),T86&gt;0),R86/T86,"")</f>
        <v/>
      </c>
      <c r="W86" s="23">
        <f>IF(AND(ISNUMBER(S86),S86&gt;0),R86/S86,"")</f>
        <v/>
      </c>
      <c r="X86" s="24">
        <f>IF(AND(ISNUMBER(S86),S86&gt;0,ISNUMBER(T86)),T86/S86,"")</f>
        <v/>
      </c>
      <c r="Y86" s="8">
        <f>IF(A86="","",IF(N(R86)&lt;Settings!$B$4*Settings!$B$6,"Testing",IF(N(T86)=0,"Kill",IF(V86&lt;=Settings!$B$4,"Winner",IF(V86&lt;=Settings!$B$4*Settings!$B$5,"Watch","Kill")))))</f>
        <v/>
      </c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5" t="n"/>
      <c r="S87" s="2" t="n"/>
      <c r="T87" s="2" t="n"/>
      <c r="U87" s="10" t="n"/>
      <c r="V87" s="23">
        <f>IF(AND(ISNUMBER(T87),T87&gt;0),R87/T87,"")</f>
        <v/>
      </c>
      <c r="W87" s="23">
        <f>IF(AND(ISNUMBER(S87),S87&gt;0),R87/S87,"")</f>
        <v/>
      </c>
      <c r="X87" s="24">
        <f>IF(AND(ISNUMBER(S87),S87&gt;0,ISNUMBER(T87)),T87/S87,"")</f>
        <v/>
      </c>
      <c r="Y87" s="8">
        <f>IF(A87="","",IF(N(R87)&lt;Settings!$B$4*Settings!$B$6,"Testing",IF(N(T87)=0,"Kill",IF(V87&lt;=Settings!$B$4,"Winner",IF(V87&lt;=Settings!$B$4*Settings!$B$5,"Watch","Kill")))))</f>
        <v/>
      </c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5" t="n"/>
      <c r="S88" s="2" t="n"/>
      <c r="T88" s="2" t="n"/>
      <c r="U88" s="10" t="n"/>
      <c r="V88" s="23">
        <f>IF(AND(ISNUMBER(T88),T88&gt;0),R88/T88,"")</f>
        <v/>
      </c>
      <c r="W88" s="23">
        <f>IF(AND(ISNUMBER(S88),S88&gt;0),R88/S88,"")</f>
        <v/>
      </c>
      <c r="X88" s="24">
        <f>IF(AND(ISNUMBER(S88),S88&gt;0,ISNUMBER(T88)),T88/S88,"")</f>
        <v/>
      </c>
      <c r="Y88" s="8">
        <f>IF(A88="","",IF(N(R88)&lt;Settings!$B$4*Settings!$B$6,"Testing",IF(N(T88)=0,"Kill",IF(V88&lt;=Settings!$B$4,"Winner",IF(V88&lt;=Settings!$B$4*Settings!$B$5,"Watch","Kill")))))</f>
        <v/>
      </c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5" t="n"/>
      <c r="S89" s="2" t="n"/>
      <c r="T89" s="2" t="n"/>
      <c r="U89" s="10" t="n"/>
      <c r="V89" s="23">
        <f>IF(AND(ISNUMBER(T89),T89&gt;0),R89/T89,"")</f>
        <v/>
      </c>
      <c r="W89" s="23">
        <f>IF(AND(ISNUMBER(S89),S89&gt;0),R89/S89,"")</f>
        <v/>
      </c>
      <c r="X89" s="24">
        <f>IF(AND(ISNUMBER(S89),S89&gt;0,ISNUMBER(T89)),T89/S89,"")</f>
        <v/>
      </c>
      <c r="Y89" s="8">
        <f>IF(A89="","",IF(N(R89)&lt;Settings!$B$4*Settings!$B$6,"Testing",IF(N(T89)=0,"Kill",IF(V89&lt;=Settings!$B$4,"Winner",IF(V89&lt;=Settings!$B$4*Settings!$B$5,"Watch","Kill")))))</f>
        <v/>
      </c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5" t="n"/>
      <c r="S90" s="2" t="n"/>
      <c r="T90" s="2" t="n"/>
      <c r="U90" s="10" t="n"/>
      <c r="V90" s="23">
        <f>IF(AND(ISNUMBER(T90),T90&gt;0),R90/T90,"")</f>
        <v/>
      </c>
      <c r="W90" s="23">
        <f>IF(AND(ISNUMBER(S90),S90&gt;0),R90/S90,"")</f>
        <v/>
      </c>
      <c r="X90" s="24">
        <f>IF(AND(ISNUMBER(S90),S90&gt;0,ISNUMBER(T90)),T90/S90,"")</f>
        <v/>
      </c>
      <c r="Y90" s="8">
        <f>IF(A90="","",IF(N(R90)&lt;Settings!$B$4*Settings!$B$6,"Testing",IF(N(T90)=0,"Kill",IF(V90&lt;=Settings!$B$4,"Winner",IF(V90&lt;=Settings!$B$4*Settings!$B$5,"Watch","Kill")))))</f>
        <v/>
      </c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5" t="n"/>
      <c r="S91" s="2" t="n"/>
      <c r="T91" s="2" t="n"/>
      <c r="U91" s="10" t="n"/>
      <c r="V91" s="23">
        <f>IF(AND(ISNUMBER(T91),T91&gt;0),R91/T91,"")</f>
        <v/>
      </c>
      <c r="W91" s="23">
        <f>IF(AND(ISNUMBER(S91),S91&gt;0),R91/S91,"")</f>
        <v/>
      </c>
      <c r="X91" s="24">
        <f>IF(AND(ISNUMBER(S91),S91&gt;0,ISNUMBER(T91)),T91/S91,"")</f>
        <v/>
      </c>
      <c r="Y91" s="8">
        <f>IF(A91="","",IF(N(R91)&lt;Settings!$B$4*Settings!$B$6,"Testing",IF(N(T91)=0,"Kill",IF(V91&lt;=Settings!$B$4,"Winner",IF(V91&lt;=Settings!$B$4*Settings!$B$5,"Watch","Kill")))))</f>
        <v/>
      </c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5" t="n"/>
      <c r="S92" s="2" t="n"/>
      <c r="T92" s="2" t="n"/>
      <c r="U92" s="10" t="n"/>
      <c r="V92" s="23">
        <f>IF(AND(ISNUMBER(T92),T92&gt;0),R92/T92,"")</f>
        <v/>
      </c>
      <c r="W92" s="23">
        <f>IF(AND(ISNUMBER(S92),S92&gt;0),R92/S92,"")</f>
        <v/>
      </c>
      <c r="X92" s="24">
        <f>IF(AND(ISNUMBER(S92),S92&gt;0,ISNUMBER(T92)),T92/S92,"")</f>
        <v/>
      </c>
      <c r="Y92" s="8">
        <f>IF(A92="","",IF(N(R92)&lt;Settings!$B$4*Settings!$B$6,"Testing",IF(N(T92)=0,"Kill",IF(V92&lt;=Settings!$B$4,"Winner",IF(V92&lt;=Settings!$B$4*Settings!$B$5,"Watch","Kill")))))</f>
        <v/>
      </c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5" t="n"/>
      <c r="S93" s="2" t="n"/>
      <c r="T93" s="2" t="n"/>
      <c r="U93" s="10" t="n"/>
      <c r="V93" s="23">
        <f>IF(AND(ISNUMBER(T93),T93&gt;0),R93/T93,"")</f>
        <v/>
      </c>
      <c r="W93" s="23">
        <f>IF(AND(ISNUMBER(S93),S93&gt;0),R93/S93,"")</f>
        <v/>
      </c>
      <c r="X93" s="24">
        <f>IF(AND(ISNUMBER(S93),S93&gt;0,ISNUMBER(T93)),T93/S93,"")</f>
        <v/>
      </c>
      <c r="Y93" s="8">
        <f>IF(A93="","",IF(N(R93)&lt;Settings!$B$4*Settings!$B$6,"Testing",IF(N(T93)=0,"Kill",IF(V93&lt;=Settings!$B$4,"Winner",IF(V93&lt;=Settings!$B$4*Settings!$B$5,"Watch","Kill")))))</f>
        <v/>
      </c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5" t="n"/>
      <c r="S94" s="2" t="n"/>
      <c r="T94" s="2" t="n"/>
      <c r="U94" s="10" t="n"/>
      <c r="V94" s="23">
        <f>IF(AND(ISNUMBER(T94),T94&gt;0),R94/T94,"")</f>
        <v/>
      </c>
      <c r="W94" s="23">
        <f>IF(AND(ISNUMBER(S94),S94&gt;0),R94/S94,"")</f>
        <v/>
      </c>
      <c r="X94" s="24">
        <f>IF(AND(ISNUMBER(S94),S94&gt;0,ISNUMBER(T94)),T94/S94,"")</f>
        <v/>
      </c>
      <c r="Y94" s="8">
        <f>IF(A94="","",IF(N(R94)&lt;Settings!$B$4*Settings!$B$6,"Testing",IF(N(T94)=0,"Kill",IF(V94&lt;=Settings!$B$4,"Winner",IF(V94&lt;=Settings!$B$4*Settings!$B$5,"Watch","Kill")))))</f>
        <v/>
      </c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5" t="n"/>
      <c r="S95" s="2" t="n"/>
      <c r="T95" s="2" t="n"/>
      <c r="U95" s="10" t="n"/>
      <c r="V95" s="23">
        <f>IF(AND(ISNUMBER(T95),T95&gt;0),R95/T95,"")</f>
        <v/>
      </c>
      <c r="W95" s="23">
        <f>IF(AND(ISNUMBER(S95),S95&gt;0),R95/S95,"")</f>
        <v/>
      </c>
      <c r="X95" s="24">
        <f>IF(AND(ISNUMBER(S95),S95&gt;0,ISNUMBER(T95)),T95/S95,"")</f>
        <v/>
      </c>
      <c r="Y95" s="8">
        <f>IF(A95="","",IF(N(R95)&lt;Settings!$B$4*Settings!$B$6,"Testing",IF(N(T95)=0,"Kill",IF(V95&lt;=Settings!$B$4,"Winner",IF(V95&lt;=Settings!$B$4*Settings!$B$5,"Watch","Kill")))))</f>
        <v/>
      </c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5" t="n"/>
      <c r="S96" s="2" t="n"/>
      <c r="T96" s="2" t="n"/>
      <c r="U96" s="10" t="n"/>
      <c r="V96" s="23">
        <f>IF(AND(ISNUMBER(T96),T96&gt;0),R96/T96,"")</f>
        <v/>
      </c>
      <c r="W96" s="23">
        <f>IF(AND(ISNUMBER(S96),S96&gt;0),R96/S96,"")</f>
        <v/>
      </c>
      <c r="X96" s="24">
        <f>IF(AND(ISNUMBER(S96),S96&gt;0,ISNUMBER(T96)),T96/S96,"")</f>
        <v/>
      </c>
      <c r="Y96" s="8">
        <f>IF(A96="","",IF(N(R96)&lt;Settings!$B$4*Settings!$B$6,"Testing",IF(N(T96)=0,"Kill",IF(V96&lt;=Settings!$B$4,"Winner",IF(V96&lt;=Settings!$B$4*Settings!$B$5,"Watch","Kill")))))</f>
        <v/>
      </c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5" t="n"/>
      <c r="S97" s="2" t="n"/>
      <c r="T97" s="2" t="n"/>
      <c r="U97" s="10" t="n"/>
      <c r="V97" s="23">
        <f>IF(AND(ISNUMBER(T97),T97&gt;0),R97/T97,"")</f>
        <v/>
      </c>
      <c r="W97" s="23">
        <f>IF(AND(ISNUMBER(S97),S97&gt;0),R97/S97,"")</f>
        <v/>
      </c>
      <c r="X97" s="24">
        <f>IF(AND(ISNUMBER(S97),S97&gt;0,ISNUMBER(T97)),T97/S97,"")</f>
        <v/>
      </c>
      <c r="Y97" s="8">
        <f>IF(A97="","",IF(N(R97)&lt;Settings!$B$4*Settings!$B$6,"Testing",IF(N(T97)=0,"Kill",IF(V97&lt;=Settings!$B$4,"Winner",IF(V97&lt;=Settings!$B$4*Settings!$B$5,"Watch","Kill")))))</f>
        <v/>
      </c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5" t="n"/>
      <c r="S98" s="2" t="n"/>
      <c r="T98" s="2" t="n"/>
      <c r="U98" s="10" t="n"/>
      <c r="V98" s="23">
        <f>IF(AND(ISNUMBER(T98),T98&gt;0),R98/T98,"")</f>
        <v/>
      </c>
      <c r="W98" s="23">
        <f>IF(AND(ISNUMBER(S98),S98&gt;0),R98/S98,"")</f>
        <v/>
      </c>
      <c r="X98" s="24">
        <f>IF(AND(ISNUMBER(S98),S98&gt;0,ISNUMBER(T98)),T98/S98,"")</f>
        <v/>
      </c>
      <c r="Y98" s="8">
        <f>IF(A98="","",IF(N(R98)&lt;Settings!$B$4*Settings!$B$6,"Testing",IF(N(T98)=0,"Kill",IF(V98&lt;=Settings!$B$4,"Winner",IF(V98&lt;=Settings!$B$4*Settings!$B$5,"Watch","Kill")))))</f>
        <v/>
      </c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5" t="n"/>
      <c r="S99" s="2" t="n"/>
      <c r="T99" s="2" t="n"/>
      <c r="U99" s="10" t="n"/>
      <c r="V99" s="23">
        <f>IF(AND(ISNUMBER(T99),T99&gt;0),R99/T99,"")</f>
        <v/>
      </c>
      <c r="W99" s="23">
        <f>IF(AND(ISNUMBER(S99),S99&gt;0),R99/S99,"")</f>
        <v/>
      </c>
      <c r="X99" s="24">
        <f>IF(AND(ISNUMBER(S99),S99&gt;0,ISNUMBER(T99)),T99/S99,"")</f>
        <v/>
      </c>
      <c r="Y99" s="8">
        <f>IF(A99="","",IF(N(R99)&lt;Settings!$B$4*Settings!$B$6,"Testing",IF(N(T99)=0,"Kill",IF(V99&lt;=Settings!$B$4,"Winner",IF(V99&lt;=Settings!$B$4*Settings!$B$5,"Watch","Kill")))))</f>
        <v/>
      </c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5" t="n"/>
      <c r="S100" s="2" t="n"/>
      <c r="T100" s="2" t="n"/>
      <c r="U100" s="10" t="n"/>
      <c r="V100" s="23">
        <f>IF(AND(ISNUMBER(T100),T100&gt;0),R100/T100,"")</f>
        <v/>
      </c>
      <c r="W100" s="23">
        <f>IF(AND(ISNUMBER(S100),S100&gt;0),R100/S100,"")</f>
        <v/>
      </c>
      <c r="X100" s="24">
        <f>IF(AND(ISNUMBER(S100),S100&gt;0,ISNUMBER(T100)),T100/S100,"")</f>
        <v/>
      </c>
      <c r="Y100" s="8">
        <f>IF(A100="","",IF(N(R100)&lt;Settings!$B$4*Settings!$B$6,"Testing",IF(N(T100)=0,"Kill",IF(V100&lt;=Settings!$B$4,"Winner",IF(V100&lt;=Settings!$B$4*Settings!$B$5,"Watch","Kill")))))</f>
        <v/>
      </c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5" t="n"/>
      <c r="S101" s="2" t="n"/>
      <c r="T101" s="2" t="n"/>
      <c r="U101" s="10" t="n"/>
      <c r="V101" s="23">
        <f>IF(AND(ISNUMBER(T101),T101&gt;0),R101/T101,"")</f>
        <v/>
      </c>
      <c r="W101" s="23">
        <f>IF(AND(ISNUMBER(S101),S101&gt;0),R101/S101,"")</f>
        <v/>
      </c>
      <c r="X101" s="24">
        <f>IF(AND(ISNUMBER(S101),S101&gt;0,ISNUMBER(T101)),T101/S101,"")</f>
        <v/>
      </c>
      <c r="Y101" s="8">
        <f>IF(A101="","",IF(N(R101)&lt;Settings!$B$4*Settings!$B$6,"Testing",IF(N(T101)=0,"Kill",IF(V101&lt;=Settings!$B$4,"Winner",IF(V101&lt;=Settings!$B$4*Settings!$B$5,"Watch","Kill")))))</f>
        <v/>
      </c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5" t="n"/>
      <c r="S102" s="2" t="n"/>
      <c r="T102" s="2" t="n"/>
      <c r="U102" s="10" t="n"/>
      <c r="V102" s="23">
        <f>IF(AND(ISNUMBER(T102),T102&gt;0),R102/T102,"")</f>
        <v/>
      </c>
      <c r="W102" s="23">
        <f>IF(AND(ISNUMBER(S102),S102&gt;0),R102/S102,"")</f>
        <v/>
      </c>
      <c r="X102" s="24">
        <f>IF(AND(ISNUMBER(S102),S102&gt;0,ISNUMBER(T102)),T102/S102,"")</f>
        <v/>
      </c>
      <c r="Y102" s="8">
        <f>IF(A102="","",IF(N(R102)&lt;Settings!$B$4*Settings!$B$6,"Testing",IF(N(T102)=0,"Kill",IF(V102&lt;=Settings!$B$4,"Winner",IF(V102&lt;=Settings!$B$4*Settings!$B$5,"Watch","Kill")))))</f>
        <v/>
      </c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5" t="n"/>
      <c r="S103" s="2" t="n"/>
      <c r="T103" s="2" t="n"/>
      <c r="U103" s="10" t="n"/>
      <c r="V103" s="23">
        <f>IF(AND(ISNUMBER(T103),T103&gt;0),R103/T103,"")</f>
        <v/>
      </c>
      <c r="W103" s="23">
        <f>IF(AND(ISNUMBER(S103),S103&gt;0),R103/S103,"")</f>
        <v/>
      </c>
      <c r="X103" s="24">
        <f>IF(AND(ISNUMBER(S103),S103&gt;0,ISNUMBER(T103)),T103/S103,"")</f>
        <v/>
      </c>
      <c r="Y103" s="8">
        <f>IF(A103="","",IF(N(R103)&lt;Settings!$B$4*Settings!$B$6,"Testing",IF(N(T103)=0,"Kill",IF(V103&lt;=Settings!$B$4,"Winner",IF(V103&lt;=Settings!$B$4*Settings!$B$5,"Watch","Kill")))))</f>
        <v/>
      </c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5" t="n"/>
      <c r="S104" s="2" t="n"/>
      <c r="T104" s="2" t="n"/>
      <c r="U104" s="10" t="n"/>
      <c r="V104" s="23">
        <f>IF(AND(ISNUMBER(T104),T104&gt;0),R104/T104,"")</f>
        <v/>
      </c>
      <c r="W104" s="23">
        <f>IF(AND(ISNUMBER(S104),S104&gt;0),R104/S104,"")</f>
        <v/>
      </c>
      <c r="X104" s="24">
        <f>IF(AND(ISNUMBER(S104),S104&gt;0,ISNUMBER(T104)),T104/S104,"")</f>
        <v/>
      </c>
      <c r="Y104" s="8">
        <f>IF(A104="","",IF(N(R104)&lt;Settings!$B$4*Settings!$B$6,"Testing",IF(N(T104)=0,"Kill",IF(V104&lt;=Settings!$B$4,"Winner",IF(V104&lt;=Settings!$B$4*Settings!$B$5,"Watch","Kill")))))</f>
        <v/>
      </c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5" t="n"/>
      <c r="S105" s="2" t="n"/>
      <c r="T105" s="2" t="n"/>
      <c r="U105" s="10" t="n"/>
      <c r="V105" s="23">
        <f>IF(AND(ISNUMBER(T105),T105&gt;0),R105/T105,"")</f>
        <v/>
      </c>
      <c r="W105" s="23">
        <f>IF(AND(ISNUMBER(S105),S105&gt;0),R105/S105,"")</f>
        <v/>
      </c>
      <c r="X105" s="24">
        <f>IF(AND(ISNUMBER(S105),S105&gt;0,ISNUMBER(T105)),T105/S105,"")</f>
        <v/>
      </c>
      <c r="Y105" s="8">
        <f>IF(A105="","",IF(N(R105)&lt;Settings!$B$4*Settings!$B$6,"Testing",IF(N(T105)=0,"Kill",IF(V105&lt;=Settings!$B$4,"Winner",IF(V105&lt;=Settings!$B$4*Settings!$B$5,"Watch","Kill")))))</f>
        <v/>
      </c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5" t="n"/>
      <c r="S106" s="2" t="n"/>
      <c r="T106" s="2" t="n"/>
      <c r="U106" s="10" t="n"/>
      <c r="V106" s="23">
        <f>IF(AND(ISNUMBER(T106),T106&gt;0),R106/T106,"")</f>
        <v/>
      </c>
      <c r="W106" s="23">
        <f>IF(AND(ISNUMBER(S106),S106&gt;0),R106/S106,"")</f>
        <v/>
      </c>
      <c r="X106" s="24">
        <f>IF(AND(ISNUMBER(S106),S106&gt;0,ISNUMBER(T106)),T106/S106,"")</f>
        <v/>
      </c>
      <c r="Y106" s="8">
        <f>IF(A106="","",IF(N(R106)&lt;Settings!$B$4*Settings!$B$6,"Testing",IF(N(T106)=0,"Kill",IF(V106&lt;=Settings!$B$4,"Winner",IF(V106&lt;=Settings!$B$4*Settings!$B$5,"Watch","Kill")))))</f>
        <v/>
      </c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5" t="n"/>
      <c r="S107" s="2" t="n"/>
      <c r="T107" s="2" t="n"/>
      <c r="U107" s="10" t="n"/>
      <c r="V107" s="23">
        <f>IF(AND(ISNUMBER(T107),T107&gt;0),R107/T107,"")</f>
        <v/>
      </c>
      <c r="W107" s="23">
        <f>IF(AND(ISNUMBER(S107),S107&gt;0),R107/S107,"")</f>
        <v/>
      </c>
      <c r="X107" s="24">
        <f>IF(AND(ISNUMBER(S107),S107&gt;0,ISNUMBER(T107)),T107/S107,"")</f>
        <v/>
      </c>
      <c r="Y107" s="8">
        <f>IF(A107="","",IF(N(R107)&lt;Settings!$B$4*Settings!$B$6,"Testing",IF(N(T107)=0,"Kill",IF(V107&lt;=Settings!$B$4,"Winner",IF(V107&lt;=Settings!$B$4*Settings!$B$5,"Watch","Kill")))))</f>
        <v/>
      </c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5" t="n"/>
      <c r="S108" s="2" t="n"/>
      <c r="T108" s="2" t="n"/>
      <c r="U108" s="10" t="n"/>
      <c r="V108" s="23">
        <f>IF(AND(ISNUMBER(T108),T108&gt;0),R108/T108,"")</f>
        <v/>
      </c>
      <c r="W108" s="23">
        <f>IF(AND(ISNUMBER(S108),S108&gt;0),R108/S108,"")</f>
        <v/>
      </c>
      <c r="X108" s="24">
        <f>IF(AND(ISNUMBER(S108),S108&gt;0,ISNUMBER(T108)),T108/S108,"")</f>
        <v/>
      </c>
      <c r="Y108" s="8">
        <f>IF(A108="","",IF(N(R108)&lt;Settings!$B$4*Settings!$B$6,"Testing",IF(N(T108)=0,"Kill",IF(V108&lt;=Settings!$B$4,"Winner",IF(V108&lt;=Settings!$B$4*Settings!$B$5,"Watch","Kill")))))</f>
        <v/>
      </c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5" t="n"/>
      <c r="S109" s="2" t="n"/>
      <c r="T109" s="2" t="n"/>
      <c r="U109" s="10" t="n"/>
      <c r="V109" s="23">
        <f>IF(AND(ISNUMBER(T109),T109&gt;0),R109/T109,"")</f>
        <v/>
      </c>
      <c r="W109" s="23">
        <f>IF(AND(ISNUMBER(S109),S109&gt;0),R109/S109,"")</f>
        <v/>
      </c>
      <c r="X109" s="24">
        <f>IF(AND(ISNUMBER(S109),S109&gt;0,ISNUMBER(T109)),T109/S109,"")</f>
        <v/>
      </c>
      <c r="Y109" s="8">
        <f>IF(A109="","",IF(N(R109)&lt;Settings!$B$4*Settings!$B$6,"Testing",IF(N(T109)=0,"Kill",IF(V109&lt;=Settings!$B$4,"Winner",IF(V109&lt;=Settings!$B$4*Settings!$B$5,"Watch","Kill")))))</f>
        <v/>
      </c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5" t="n"/>
      <c r="S110" s="2" t="n"/>
      <c r="T110" s="2" t="n"/>
      <c r="U110" s="10" t="n"/>
      <c r="V110" s="23">
        <f>IF(AND(ISNUMBER(T110),T110&gt;0),R110/T110,"")</f>
        <v/>
      </c>
      <c r="W110" s="23">
        <f>IF(AND(ISNUMBER(S110),S110&gt;0),R110/S110,"")</f>
        <v/>
      </c>
      <c r="X110" s="24">
        <f>IF(AND(ISNUMBER(S110),S110&gt;0,ISNUMBER(T110)),T110/S110,"")</f>
        <v/>
      </c>
      <c r="Y110" s="8">
        <f>IF(A110="","",IF(N(R110)&lt;Settings!$B$4*Settings!$B$6,"Testing",IF(N(T110)=0,"Kill",IF(V110&lt;=Settings!$B$4,"Winner",IF(V110&lt;=Settings!$B$4*Settings!$B$5,"Watch","Kill")))))</f>
        <v/>
      </c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5" t="n"/>
      <c r="S111" s="2" t="n"/>
      <c r="T111" s="2" t="n"/>
      <c r="U111" s="10" t="n"/>
      <c r="V111" s="23">
        <f>IF(AND(ISNUMBER(T111),T111&gt;0),R111/T111,"")</f>
        <v/>
      </c>
      <c r="W111" s="23">
        <f>IF(AND(ISNUMBER(S111),S111&gt;0),R111/S111,"")</f>
        <v/>
      </c>
      <c r="X111" s="24">
        <f>IF(AND(ISNUMBER(S111),S111&gt;0,ISNUMBER(T111)),T111/S111,"")</f>
        <v/>
      </c>
      <c r="Y111" s="8">
        <f>IF(A111="","",IF(N(R111)&lt;Settings!$B$4*Settings!$B$6,"Testing",IF(N(T111)=0,"Kill",IF(V111&lt;=Settings!$B$4,"Winner",IF(V111&lt;=Settings!$B$4*Settings!$B$5,"Watch","Kill")))))</f>
        <v/>
      </c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5" t="n"/>
      <c r="S112" s="2" t="n"/>
      <c r="T112" s="2" t="n"/>
      <c r="U112" s="10" t="n"/>
      <c r="V112" s="23">
        <f>IF(AND(ISNUMBER(T112),T112&gt;0),R112/T112,"")</f>
        <v/>
      </c>
      <c r="W112" s="23">
        <f>IF(AND(ISNUMBER(S112),S112&gt;0),R112/S112,"")</f>
        <v/>
      </c>
      <c r="X112" s="24">
        <f>IF(AND(ISNUMBER(S112),S112&gt;0,ISNUMBER(T112)),T112/S112,"")</f>
        <v/>
      </c>
      <c r="Y112" s="8">
        <f>IF(A112="","",IF(N(R112)&lt;Settings!$B$4*Settings!$B$6,"Testing",IF(N(T112)=0,"Kill",IF(V112&lt;=Settings!$B$4,"Winner",IF(V112&lt;=Settings!$B$4*Settings!$B$5,"Watch","Kill")))))</f>
        <v/>
      </c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5" t="n"/>
      <c r="S113" s="2" t="n"/>
      <c r="T113" s="2" t="n"/>
      <c r="U113" s="10" t="n"/>
      <c r="V113" s="23">
        <f>IF(AND(ISNUMBER(T113),T113&gt;0),R113/T113,"")</f>
        <v/>
      </c>
      <c r="W113" s="23">
        <f>IF(AND(ISNUMBER(S113),S113&gt;0),R113/S113,"")</f>
        <v/>
      </c>
      <c r="X113" s="24">
        <f>IF(AND(ISNUMBER(S113),S113&gt;0,ISNUMBER(T113)),T113/S113,"")</f>
        <v/>
      </c>
      <c r="Y113" s="8">
        <f>IF(A113="","",IF(N(R113)&lt;Settings!$B$4*Settings!$B$6,"Testing",IF(N(T113)=0,"Kill",IF(V113&lt;=Settings!$B$4,"Winner",IF(V113&lt;=Settings!$B$4*Settings!$B$5,"Watch","Kill")))))</f>
        <v/>
      </c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5" t="n"/>
      <c r="S114" s="2" t="n"/>
      <c r="T114" s="2" t="n"/>
      <c r="U114" s="10" t="n"/>
      <c r="V114" s="23">
        <f>IF(AND(ISNUMBER(T114),T114&gt;0),R114/T114,"")</f>
        <v/>
      </c>
      <c r="W114" s="23">
        <f>IF(AND(ISNUMBER(S114),S114&gt;0),R114/S114,"")</f>
        <v/>
      </c>
      <c r="X114" s="24">
        <f>IF(AND(ISNUMBER(S114),S114&gt;0,ISNUMBER(T114)),T114/S114,"")</f>
        <v/>
      </c>
      <c r="Y114" s="8">
        <f>IF(A114="","",IF(N(R114)&lt;Settings!$B$4*Settings!$B$6,"Testing",IF(N(T114)=0,"Kill",IF(V114&lt;=Settings!$B$4,"Winner",IF(V114&lt;=Settings!$B$4*Settings!$B$5,"Watch","Kill")))))</f>
        <v/>
      </c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5" t="n"/>
      <c r="S115" s="2" t="n"/>
      <c r="T115" s="2" t="n"/>
      <c r="U115" s="10" t="n"/>
      <c r="V115" s="23">
        <f>IF(AND(ISNUMBER(T115),T115&gt;0),R115/T115,"")</f>
        <v/>
      </c>
      <c r="W115" s="23">
        <f>IF(AND(ISNUMBER(S115),S115&gt;0),R115/S115,"")</f>
        <v/>
      </c>
      <c r="X115" s="24">
        <f>IF(AND(ISNUMBER(S115),S115&gt;0,ISNUMBER(T115)),T115/S115,"")</f>
        <v/>
      </c>
      <c r="Y115" s="8">
        <f>IF(A115="","",IF(N(R115)&lt;Settings!$B$4*Settings!$B$6,"Testing",IF(N(T115)=0,"Kill",IF(V115&lt;=Settings!$B$4,"Winner",IF(V115&lt;=Settings!$B$4*Settings!$B$5,"Watch","Kill")))))</f>
        <v/>
      </c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5" t="n"/>
      <c r="S116" s="2" t="n"/>
      <c r="T116" s="2" t="n"/>
      <c r="U116" s="10" t="n"/>
      <c r="V116" s="23">
        <f>IF(AND(ISNUMBER(T116),T116&gt;0),R116/T116,"")</f>
        <v/>
      </c>
      <c r="W116" s="23">
        <f>IF(AND(ISNUMBER(S116),S116&gt;0),R116/S116,"")</f>
        <v/>
      </c>
      <c r="X116" s="24">
        <f>IF(AND(ISNUMBER(S116),S116&gt;0,ISNUMBER(T116)),T116/S116,"")</f>
        <v/>
      </c>
      <c r="Y116" s="8">
        <f>IF(A116="","",IF(N(R116)&lt;Settings!$B$4*Settings!$B$6,"Testing",IF(N(T116)=0,"Kill",IF(V116&lt;=Settings!$B$4,"Winner",IF(V116&lt;=Settings!$B$4*Settings!$B$5,"Watch","Kill")))))</f>
        <v/>
      </c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5" t="n"/>
      <c r="S117" s="2" t="n"/>
      <c r="T117" s="2" t="n"/>
      <c r="U117" s="10" t="n"/>
      <c r="V117" s="23">
        <f>IF(AND(ISNUMBER(T117),T117&gt;0),R117/T117,"")</f>
        <v/>
      </c>
      <c r="W117" s="23">
        <f>IF(AND(ISNUMBER(S117),S117&gt;0),R117/S117,"")</f>
        <v/>
      </c>
      <c r="X117" s="24">
        <f>IF(AND(ISNUMBER(S117),S117&gt;0,ISNUMBER(T117)),T117/S117,"")</f>
        <v/>
      </c>
      <c r="Y117" s="8">
        <f>IF(A117="","",IF(N(R117)&lt;Settings!$B$4*Settings!$B$6,"Testing",IF(N(T117)=0,"Kill",IF(V117&lt;=Settings!$B$4,"Winner",IF(V117&lt;=Settings!$B$4*Settings!$B$5,"Watch","Kill")))))</f>
        <v/>
      </c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5" t="n"/>
      <c r="S118" s="2" t="n"/>
      <c r="T118" s="2" t="n"/>
      <c r="U118" s="10" t="n"/>
      <c r="V118" s="23">
        <f>IF(AND(ISNUMBER(T118),T118&gt;0),R118/T118,"")</f>
        <v/>
      </c>
      <c r="W118" s="23">
        <f>IF(AND(ISNUMBER(S118),S118&gt;0),R118/S118,"")</f>
        <v/>
      </c>
      <c r="X118" s="24">
        <f>IF(AND(ISNUMBER(S118),S118&gt;0,ISNUMBER(T118)),T118/S118,"")</f>
        <v/>
      </c>
      <c r="Y118" s="8">
        <f>IF(A118="","",IF(N(R118)&lt;Settings!$B$4*Settings!$B$6,"Testing",IF(N(T118)=0,"Kill",IF(V118&lt;=Settings!$B$4,"Winner",IF(V118&lt;=Settings!$B$4*Settings!$B$5,"Watch","Kill")))))</f>
        <v/>
      </c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5" t="n"/>
      <c r="S119" s="2" t="n"/>
      <c r="T119" s="2" t="n"/>
      <c r="U119" s="10" t="n"/>
      <c r="V119" s="23">
        <f>IF(AND(ISNUMBER(T119),T119&gt;0),R119/T119,"")</f>
        <v/>
      </c>
      <c r="W119" s="23">
        <f>IF(AND(ISNUMBER(S119),S119&gt;0),R119/S119,"")</f>
        <v/>
      </c>
      <c r="X119" s="24">
        <f>IF(AND(ISNUMBER(S119),S119&gt;0,ISNUMBER(T119)),T119/S119,"")</f>
        <v/>
      </c>
      <c r="Y119" s="8">
        <f>IF(A119="","",IF(N(R119)&lt;Settings!$B$4*Settings!$B$6,"Testing",IF(N(T119)=0,"Kill",IF(V119&lt;=Settings!$B$4,"Winner",IF(V119&lt;=Settings!$B$4*Settings!$B$5,"Watch","Kill")))))</f>
        <v/>
      </c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5" t="n"/>
      <c r="S120" s="2" t="n"/>
      <c r="T120" s="2" t="n"/>
      <c r="U120" s="10" t="n"/>
      <c r="V120" s="23">
        <f>IF(AND(ISNUMBER(T120),T120&gt;0),R120/T120,"")</f>
        <v/>
      </c>
      <c r="W120" s="23">
        <f>IF(AND(ISNUMBER(S120),S120&gt;0),R120/S120,"")</f>
        <v/>
      </c>
      <c r="X120" s="24">
        <f>IF(AND(ISNUMBER(S120),S120&gt;0,ISNUMBER(T120)),T120/S120,"")</f>
        <v/>
      </c>
      <c r="Y120" s="8">
        <f>IF(A120="","",IF(N(R120)&lt;Settings!$B$4*Settings!$B$6,"Testing",IF(N(T120)=0,"Kill",IF(V120&lt;=Settings!$B$4,"Winner",IF(V120&lt;=Settings!$B$4*Settings!$B$5,"Watch","Kill")))))</f>
        <v/>
      </c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5" t="n"/>
      <c r="S121" s="2" t="n"/>
      <c r="T121" s="2" t="n"/>
      <c r="U121" s="10" t="n"/>
      <c r="V121" s="23">
        <f>IF(AND(ISNUMBER(T121),T121&gt;0),R121/T121,"")</f>
        <v/>
      </c>
      <c r="W121" s="23">
        <f>IF(AND(ISNUMBER(S121),S121&gt;0),R121/S121,"")</f>
        <v/>
      </c>
      <c r="X121" s="24">
        <f>IF(AND(ISNUMBER(S121),S121&gt;0,ISNUMBER(T121)),T121/S121,"")</f>
        <v/>
      </c>
      <c r="Y121" s="8">
        <f>IF(A121="","",IF(N(R121)&lt;Settings!$B$4*Settings!$B$6,"Testing",IF(N(T121)=0,"Kill",IF(V121&lt;=Settings!$B$4,"Winner",IF(V121&lt;=Settings!$B$4*Settings!$B$5,"Watch","Kill")))))</f>
        <v/>
      </c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5" t="n"/>
      <c r="S122" s="2" t="n"/>
      <c r="T122" s="2" t="n"/>
      <c r="U122" s="10" t="n"/>
      <c r="V122" s="23">
        <f>IF(AND(ISNUMBER(T122),T122&gt;0),R122/T122,"")</f>
        <v/>
      </c>
      <c r="W122" s="23">
        <f>IF(AND(ISNUMBER(S122),S122&gt;0),R122/S122,"")</f>
        <v/>
      </c>
      <c r="X122" s="24">
        <f>IF(AND(ISNUMBER(S122),S122&gt;0,ISNUMBER(T122)),T122/S122,"")</f>
        <v/>
      </c>
      <c r="Y122" s="8">
        <f>IF(A122="","",IF(N(R122)&lt;Settings!$B$4*Settings!$B$6,"Testing",IF(N(T122)=0,"Kill",IF(V122&lt;=Settings!$B$4,"Winner",IF(V122&lt;=Settings!$B$4*Settings!$B$5,"Watch","Kill")))))</f>
        <v/>
      </c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5" t="n"/>
      <c r="S123" s="2" t="n"/>
      <c r="T123" s="2" t="n"/>
      <c r="U123" s="10" t="n"/>
      <c r="V123" s="23">
        <f>IF(AND(ISNUMBER(T123),T123&gt;0),R123/T123,"")</f>
        <v/>
      </c>
      <c r="W123" s="23">
        <f>IF(AND(ISNUMBER(S123),S123&gt;0),R123/S123,"")</f>
        <v/>
      </c>
      <c r="X123" s="24">
        <f>IF(AND(ISNUMBER(S123),S123&gt;0,ISNUMBER(T123)),T123/S123,"")</f>
        <v/>
      </c>
      <c r="Y123" s="8">
        <f>IF(A123="","",IF(N(R123)&lt;Settings!$B$4*Settings!$B$6,"Testing",IF(N(T123)=0,"Kill",IF(V123&lt;=Settings!$B$4,"Winner",IF(V123&lt;=Settings!$B$4*Settings!$B$5,"Watch","Kill")))))</f>
        <v/>
      </c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5" t="n"/>
      <c r="S124" s="2" t="n"/>
      <c r="T124" s="2" t="n"/>
      <c r="U124" s="10" t="n"/>
      <c r="V124" s="23">
        <f>IF(AND(ISNUMBER(T124),T124&gt;0),R124/T124,"")</f>
        <v/>
      </c>
      <c r="W124" s="23">
        <f>IF(AND(ISNUMBER(S124),S124&gt;0),R124/S124,"")</f>
        <v/>
      </c>
      <c r="X124" s="24">
        <f>IF(AND(ISNUMBER(S124),S124&gt;0,ISNUMBER(T124)),T124/S124,"")</f>
        <v/>
      </c>
      <c r="Y124" s="8">
        <f>IF(A124="","",IF(N(R124)&lt;Settings!$B$4*Settings!$B$6,"Testing",IF(N(T124)=0,"Kill",IF(V124&lt;=Settings!$B$4,"Winner",IF(V124&lt;=Settings!$B$4*Settings!$B$5,"Watch","Kill")))))</f>
        <v/>
      </c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5" t="n"/>
      <c r="S125" s="2" t="n"/>
      <c r="T125" s="2" t="n"/>
      <c r="U125" s="10" t="n"/>
      <c r="V125" s="23">
        <f>IF(AND(ISNUMBER(T125),T125&gt;0),R125/T125,"")</f>
        <v/>
      </c>
      <c r="W125" s="23">
        <f>IF(AND(ISNUMBER(S125),S125&gt;0),R125/S125,"")</f>
        <v/>
      </c>
      <c r="X125" s="24">
        <f>IF(AND(ISNUMBER(S125),S125&gt;0,ISNUMBER(T125)),T125/S125,"")</f>
        <v/>
      </c>
      <c r="Y125" s="8">
        <f>IF(A125="","",IF(N(R125)&lt;Settings!$B$4*Settings!$B$6,"Testing",IF(N(T125)=0,"Kill",IF(V125&lt;=Settings!$B$4,"Winner",IF(V125&lt;=Settings!$B$4*Settings!$B$5,"Watch","Kill")))))</f>
        <v/>
      </c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5" t="n"/>
      <c r="S126" s="2" t="n"/>
      <c r="T126" s="2" t="n"/>
      <c r="U126" s="10" t="n"/>
      <c r="V126" s="23">
        <f>IF(AND(ISNUMBER(T126),T126&gt;0),R126/T126,"")</f>
        <v/>
      </c>
      <c r="W126" s="23">
        <f>IF(AND(ISNUMBER(S126),S126&gt;0),R126/S126,"")</f>
        <v/>
      </c>
      <c r="X126" s="24">
        <f>IF(AND(ISNUMBER(S126),S126&gt;0,ISNUMBER(T126)),T126/S126,"")</f>
        <v/>
      </c>
      <c r="Y126" s="8">
        <f>IF(A126="","",IF(N(R126)&lt;Settings!$B$4*Settings!$B$6,"Testing",IF(N(T126)=0,"Kill",IF(V126&lt;=Settings!$B$4,"Winner",IF(V126&lt;=Settings!$B$4*Settings!$B$5,"Watch","Kill")))))</f>
        <v/>
      </c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5" t="n"/>
      <c r="S127" s="2" t="n"/>
      <c r="T127" s="2" t="n"/>
      <c r="U127" s="10" t="n"/>
      <c r="V127" s="23">
        <f>IF(AND(ISNUMBER(T127),T127&gt;0),R127/T127,"")</f>
        <v/>
      </c>
      <c r="W127" s="23">
        <f>IF(AND(ISNUMBER(S127),S127&gt;0),R127/S127,"")</f>
        <v/>
      </c>
      <c r="X127" s="24">
        <f>IF(AND(ISNUMBER(S127),S127&gt;0,ISNUMBER(T127)),T127/S127,"")</f>
        <v/>
      </c>
      <c r="Y127" s="8">
        <f>IF(A127="","",IF(N(R127)&lt;Settings!$B$4*Settings!$B$6,"Testing",IF(N(T127)=0,"Kill",IF(V127&lt;=Settings!$B$4,"Winner",IF(V127&lt;=Settings!$B$4*Settings!$B$5,"Watch","Kill")))))</f>
        <v/>
      </c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5" t="n"/>
      <c r="S128" s="2" t="n"/>
      <c r="T128" s="2" t="n"/>
      <c r="U128" s="10" t="n"/>
      <c r="V128" s="23">
        <f>IF(AND(ISNUMBER(T128),T128&gt;0),R128/T128,"")</f>
        <v/>
      </c>
      <c r="W128" s="23">
        <f>IF(AND(ISNUMBER(S128),S128&gt;0),R128/S128,"")</f>
        <v/>
      </c>
      <c r="X128" s="24">
        <f>IF(AND(ISNUMBER(S128),S128&gt;0,ISNUMBER(T128)),T128/S128,"")</f>
        <v/>
      </c>
      <c r="Y128" s="8">
        <f>IF(A128="","",IF(N(R128)&lt;Settings!$B$4*Settings!$B$6,"Testing",IF(N(T128)=0,"Kill",IF(V128&lt;=Settings!$B$4,"Winner",IF(V128&lt;=Settings!$B$4*Settings!$B$5,"Watch","Kill")))))</f>
        <v/>
      </c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5" t="n"/>
      <c r="S129" s="2" t="n"/>
      <c r="T129" s="2" t="n"/>
      <c r="U129" s="10" t="n"/>
      <c r="V129" s="23">
        <f>IF(AND(ISNUMBER(T129),T129&gt;0),R129/T129,"")</f>
        <v/>
      </c>
      <c r="W129" s="23">
        <f>IF(AND(ISNUMBER(S129),S129&gt;0),R129/S129,"")</f>
        <v/>
      </c>
      <c r="X129" s="24">
        <f>IF(AND(ISNUMBER(S129),S129&gt;0,ISNUMBER(T129)),T129/S129,"")</f>
        <v/>
      </c>
      <c r="Y129" s="8">
        <f>IF(A129="","",IF(N(R129)&lt;Settings!$B$4*Settings!$B$6,"Testing",IF(N(T129)=0,"Kill",IF(V129&lt;=Settings!$B$4,"Winner",IF(V129&lt;=Settings!$B$4*Settings!$B$5,"Watch","Kill")))))</f>
        <v/>
      </c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5" t="n"/>
      <c r="S130" s="2" t="n"/>
      <c r="T130" s="2" t="n"/>
      <c r="U130" s="10" t="n"/>
      <c r="V130" s="23">
        <f>IF(AND(ISNUMBER(T130),T130&gt;0),R130/T130,"")</f>
        <v/>
      </c>
      <c r="W130" s="23">
        <f>IF(AND(ISNUMBER(S130),S130&gt;0),R130/S130,"")</f>
        <v/>
      </c>
      <c r="X130" s="24">
        <f>IF(AND(ISNUMBER(S130),S130&gt;0,ISNUMBER(T130)),T130/S130,"")</f>
        <v/>
      </c>
      <c r="Y130" s="8">
        <f>IF(A130="","",IF(N(R130)&lt;Settings!$B$4*Settings!$B$6,"Testing",IF(N(T130)=0,"Kill",IF(V130&lt;=Settings!$B$4,"Winner",IF(V130&lt;=Settings!$B$4*Settings!$B$5,"Watch","Kill")))))</f>
        <v/>
      </c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5" t="n"/>
      <c r="S131" s="2" t="n"/>
      <c r="T131" s="2" t="n"/>
      <c r="U131" s="10" t="n"/>
      <c r="V131" s="23">
        <f>IF(AND(ISNUMBER(T131),T131&gt;0),R131/T131,"")</f>
        <v/>
      </c>
      <c r="W131" s="23">
        <f>IF(AND(ISNUMBER(S131),S131&gt;0),R131/S131,"")</f>
        <v/>
      </c>
      <c r="X131" s="24">
        <f>IF(AND(ISNUMBER(S131),S131&gt;0,ISNUMBER(T131)),T131/S131,"")</f>
        <v/>
      </c>
      <c r="Y131" s="8">
        <f>IF(A131="","",IF(N(R131)&lt;Settings!$B$4*Settings!$B$6,"Testing",IF(N(T131)=0,"Kill",IF(V131&lt;=Settings!$B$4,"Winner",IF(V131&lt;=Settings!$B$4*Settings!$B$5,"Watch","Kill")))))</f>
        <v/>
      </c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5" t="n"/>
      <c r="S132" s="2" t="n"/>
      <c r="T132" s="2" t="n"/>
      <c r="U132" s="10" t="n"/>
      <c r="V132" s="23">
        <f>IF(AND(ISNUMBER(T132),T132&gt;0),R132/T132,"")</f>
        <v/>
      </c>
      <c r="W132" s="23">
        <f>IF(AND(ISNUMBER(S132),S132&gt;0),R132/S132,"")</f>
        <v/>
      </c>
      <c r="X132" s="24">
        <f>IF(AND(ISNUMBER(S132),S132&gt;0,ISNUMBER(T132)),T132/S132,"")</f>
        <v/>
      </c>
      <c r="Y132" s="8">
        <f>IF(A132="","",IF(N(R132)&lt;Settings!$B$4*Settings!$B$6,"Testing",IF(N(T132)=0,"Kill",IF(V132&lt;=Settings!$B$4,"Winner",IF(V132&lt;=Settings!$B$4*Settings!$B$5,"Watch","Kill")))))</f>
        <v/>
      </c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5" t="n"/>
      <c r="S133" s="2" t="n"/>
      <c r="T133" s="2" t="n"/>
      <c r="U133" s="10" t="n"/>
      <c r="V133" s="23">
        <f>IF(AND(ISNUMBER(T133),T133&gt;0),R133/T133,"")</f>
        <v/>
      </c>
      <c r="W133" s="23">
        <f>IF(AND(ISNUMBER(S133),S133&gt;0),R133/S133,"")</f>
        <v/>
      </c>
      <c r="X133" s="24">
        <f>IF(AND(ISNUMBER(S133),S133&gt;0,ISNUMBER(T133)),T133/S133,"")</f>
        <v/>
      </c>
      <c r="Y133" s="8">
        <f>IF(A133="","",IF(N(R133)&lt;Settings!$B$4*Settings!$B$6,"Testing",IF(N(T133)=0,"Kill",IF(V133&lt;=Settings!$B$4,"Winner",IF(V133&lt;=Settings!$B$4*Settings!$B$5,"Watch","Kill")))))</f>
        <v/>
      </c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5" t="n"/>
      <c r="S134" s="2" t="n"/>
      <c r="T134" s="2" t="n"/>
      <c r="U134" s="10" t="n"/>
      <c r="V134" s="23">
        <f>IF(AND(ISNUMBER(T134),T134&gt;0),R134/T134,"")</f>
        <v/>
      </c>
      <c r="W134" s="23">
        <f>IF(AND(ISNUMBER(S134),S134&gt;0),R134/S134,"")</f>
        <v/>
      </c>
      <c r="X134" s="24">
        <f>IF(AND(ISNUMBER(S134),S134&gt;0,ISNUMBER(T134)),T134/S134,"")</f>
        <v/>
      </c>
      <c r="Y134" s="8">
        <f>IF(A134="","",IF(N(R134)&lt;Settings!$B$4*Settings!$B$6,"Testing",IF(N(T134)=0,"Kill",IF(V134&lt;=Settings!$B$4,"Winner",IF(V134&lt;=Settings!$B$4*Settings!$B$5,"Watch","Kill")))))</f>
        <v/>
      </c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5" t="n"/>
      <c r="S135" s="2" t="n"/>
      <c r="T135" s="2" t="n"/>
      <c r="U135" s="10" t="n"/>
      <c r="V135" s="23">
        <f>IF(AND(ISNUMBER(T135),T135&gt;0),R135/T135,"")</f>
        <v/>
      </c>
      <c r="W135" s="23">
        <f>IF(AND(ISNUMBER(S135),S135&gt;0),R135/S135,"")</f>
        <v/>
      </c>
      <c r="X135" s="24">
        <f>IF(AND(ISNUMBER(S135),S135&gt;0,ISNUMBER(T135)),T135/S135,"")</f>
        <v/>
      </c>
      <c r="Y135" s="8">
        <f>IF(A135="","",IF(N(R135)&lt;Settings!$B$4*Settings!$B$6,"Testing",IF(N(T135)=0,"Kill",IF(V135&lt;=Settings!$B$4,"Winner",IF(V135&lt;=Settings!$B$4*Settings!$B$5,"Watch","Kill")))))</f>
        <v/>
      </c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5" t="n"/>
      <c r="S136" s="2" t="n"/>
      <c r="T136" s="2" t="n"/>
      <c r="U136" s="10" t="n"/>
      <c r="V136" s="23">
        <f>IF(AND(ISNUMBER(T136),T136&gt;0),R136/T136,"")</f>
        <v/>
      </c>
      <c r="W136" s="23">
        <f>IF(AND(ISNUMBER(S136),S136&gt;0),R136/S136,"")</f>
        <v/>
      </c>
      <c r="X136" s="24">
        <f>IF(AND(ISNUMBER(S136),S136&gt;0,ISNUMBER(T136)),T136/S136,"")</f>
        <v/>
      </c>
      <c r="Y136" s="8">
        <f>IF(A136="","",IF(N(R136)&lt;Settings!$B$4*Settings!$B$6,"Testing",IF(N(T136)=0,"Kill",IF(V136&lt;=Settings!$B$4,"Winner",IF(V136&lt;=Settings!$B$4*Settings!$B$5,"Watch","Kill")))))</f>
        <v/>
      </c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5" t="n"/>
      <c r="S137" s="2" t="n"/>
      <c r="T137" s="2" t="n"/>
      <c r="U137" s="10" t="n"/>
      <c r="V137" s="23">
        <f>IF(AND(ISNUMBER(T137),T137&gt;0),R137/T137,"")</f>
        <v/>
      </c>
      <c r="W137" s="23">
        <f>IF(AND(ISNUMBER(S137),S137&gt;0),R137/S137,"")</f>
        <v/>
      </c>
      <c r="X137" s="24">
        <f>IF(AND(ISNUMBER(S137),S137&gt;0,ISNUMBER(T137)),T137/S137,"")</f>
        <v/>
      </c>
      <c r="Y137" s="8">
        <f>IF(A137="","",IF(N(R137)&lt;Settings!$B$4*Settings!$B$6,"Testing",IF(N(T137)=0,"Kill",IF(V137&lt;=Settings!$B$4,"Winner",IF(V137&lt;=Settings!$B$4*Settings!$B$5,"Watch","Kill")))))</f>
        <v/>
      </c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5" t="n"/>
      <c r="S138" s="2" t="n"/>
      <c r="T138" s="2" t="n"/>
      <c r="U138" s="10" t="n"/>
      <c r="V138" s="23">
        <f>IF(AND(ISNUMBER(T138),T138&gt;0),R138/T138,"")</f>
        <v/>
      </c>
      <c r="W138" s="23">
        <f>IF(AND(ISNUMBER(S138),S138&gt;0),R138/S138,"")</f>
        <v/>
      </c>
      <c r="X138" s="24">
        <f>IF(AND(ISNUMBER(S138),S138&gt;0,ISNUMBER(T138)),T138/S138,"")</f>
        <v/>
      </c>
      <c r="Y138" s="8">
        <f>IF(A138="","",IF(N(R138)&lt;Settings!$B$4*Settings!$B$6,"Testing",IF(N(T138)=0,"Kill",IF(V138&lt;=Settings!$B$4,"Winner",IF(V138&lt;=Settings!$B$4*Settings!$B$5,"Watch","Kill")))))</f>
        <v/>
      </c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5" t="n"/>
      <c r="S139" s="2" t="n"/>
      <c r="T139" s="2" t="n"/>
      <c r="U139" s="10" t="n"/>
      <c r="V139" s="23">
        <f>IF(AND(ISNUMBER(T139),T139&gt;0),R139/T139,"")</f>
        <v/>
      </c>
      <c r="W139" s="23">
        <f>IF(AND(ISNUMBER(S139),S139&gt;0),R139/S139,"")</f>
        <v/>
      </c>
      <c r="X139" s="24">
        <f>IF(AND(ISNUMBER(S139),S139&gt;0,ISNUMBER(T139)),T139/S139,"")</f>
        <v/>
      </c>
      <c r="Y139" s="8">
        <f>IF(A139="","",IF(N(R139)&lt;Settings!$B$4*Settings!$B$6,"Testing",IF(N(T139)=0,"Kill",IF(V139&lt;=Settings!$B$4,"Winner",IF(V139&lt;=Settings!$B$4*Settings!$B$5,"Watch","Kill")))))</f>
        <v/>
      </c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5" t="n"/>
      <c r="S140" s="2" t="n"/>
      <c r="T140" s="2" t="n"/>
      <c r="U140" s="10" t="n"/>
      <c r="V140" s="23">
        <f>IF(AND(ISNUMBER(T140),T140&gt;0),R140/T140,"")</f>
        <v/>
      </c>
      <c r="W140" s="23">
        <f>IF(AND(ISNUMBER(S140),S140&gt;0),R140/S140,"")</f>
        <v/>
      </c>
      <c r="X140" s="24">
        <f>IF(AND(ISNUMBER(S140),S140&gt;0,ISNUMBER(T140)),T140/S140,"")</f>
        <v/>
      </c>
      <c r="Y140" s="8">
        <f>IF(A140="","",IF(N(R140)&lt;Settings!$B$4*Settings!$B$6,"Testing",IF(N(T140)=0,"Kill",IF(V140&lt;=Settings!$B$4,"Winner",IF(V140&lt;=Settings!$B$4*Settings!$B$5,"Watch","Kill")))))</f>
        <v/>
      </c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5" t="n"/>
      <c r="S141" s="2" t="n"/>
      <c r="T141" s="2" t="n"/>
      <c r="U141" s="10" t="n"/>
      <c r="V141" s="23">
        <f>IF(AND(ISNUMBER(T141),T141&gt;0),R141/T141,"")</f>
        <v/>
      </c>
      <c r="W141" s="23">
        <f>IF(AND(ISNUMBER(S141),S141&gt;0),R141/S141,"")</f>
        <v/>
      </c>
      <c r="X141" s="24">
        <f>IF(AND(ISNUMBER(S141),S141&gt;0,ISNUMBER(T141)),T141/S141,"")</f>
        <v/>
      </c>
      <c r="Y141" s="8">
        <f>IF(A141="","",IF(N(R141)&lt;Settings!$B$4*Settings!$B$6,"Testing",IF(N(T141)=0,"Kill",IF(V141&lt;=Settings!$B$4,"Winner",IF(V141&lt;=Settings!$B$4*Settings!$B$5,"Watch","Kill")))))</f>
        <v/>
      </c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5" t="n"/>
      <c r="S142" s="2" t="n"/>
      <c r="T142" s="2" t="n"/>
      <c r="U142" s="10" t="n"/>
      <c r="V142" s="23">
        <f>IF(AND(ISNUMBER(T142),T142&gt;0),R142/T142,"")</f>
        <v/>
      </c>
      <c r="W142" s="23">
        <f>IF(AND(ISNUMBER(S142),S142&gt;0),R142/S142,"")</f>
        <v/>
      </c>
      <c r="X142" s="24">
        <f>IF(AND(ISNUMBER(S142),S142&gt;0,ISNUMBER(T142)),T142/S142,"")</f>
        <v/>
      </c>
      <c r="Y142" s="8">
        <f>IF(A142="","",IF(N(R142)&lt;Settings!$B$4*Settings!$B$6,"Testing",IF(N(T142)=0,"Kill",IF(V142&lt;=Settings!$B$4,"Winner",IF(V142&lt;=Settings!$B$4*Settings!$B$5,"Watch","Kill")))))</f>
        <v/>
      </c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5" t="n"/>
      <c r="S143" s="2" t="n"/>
      <c r="T143" s="2" t="n"/>
      <c r="U143" s="10" t="n"/>
      <c r="V143" s="23">
        <f>IF(AND(ISNUMBER(T143),T143&gt;0),R143/T143,"")</f>
        <v/>
      </c>
      <c r="W143" s="23">
        <f>IF(AND(ISNUMBER(S143),S143&gt;0),R143/S143,"")</f>
        <v/>
      </c>
      <c r="X143" s="24">
        <f>IF(AND(ISNUMBER(S143),S143&gt;0,ISNUMBER(T143)),T143/S143,"")</f>
        <v/>
      </c>
      <c r="Y143" s="8">
        <f>IF(A143="","",IF(N(R143)&lt;Settings!$B$4*Settings!$B$6,"Testing",IF(N(T143)=0,"Kill",IF(V143&lt;=Settings!$B$4,"Winner",IF(V143&lt;=Settings!$B$4*Settings!$B$5,"Watch","Kill")))))</f>
        <v/>
      </c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5" t="n"/>
      <c r="S144" s="2" t="n"/>
      <c r="T144" s="2" t="n"/>
      <c r="U144" s="10" t="n"/>
      <c r="V144" s="23">
        <f>IF(AND(ISNUMBER(T144),T144&gt;0),R144/T144,"")</f>
        <v/>
      </c>
      <c r="W144" s="23">
        <f>IF(AND(ISNUMBER(S144),S144&gt;0),R144/S144,"")</f>
        <v/>
      </c>
      <c r="X144" s="24">
        <f>IF(AND(ISNUMBER(S144),S144&gt;0,ISNUMBER(T144)),T144/S144,"")</f>
        <v/>
      </c>
      <c r="Y144" s="8">
        <f>IF(A144="","",IF(N(R144)&lt;Settings!$B$4*Settings!$B$6,"Testing",IF(N(T144)=0,"Kill",IF(V144&lt;=Settings!$B$4,"Winner",IF(V144&lt;=Settings!$B$4*Settings!$B$5,"Watch","Kill")))))</f>
        <v/>
      </c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5" t="n"/>
      <c r="S145" s="2" t="n"/>
      <c r="T145" s="2" t="n"/>
      <c r="U145" s="10" t="n"/>
      <c r="V145" s="23">
        <f>IF(AND(ISNUMBER(T145),T145&gt;0),R145/T145,"")</f>
        <v/>
      </c>
      <c r="W145" s="23">
        <f>IF(AND(ISNUMBER(S145),S145&gt;0),R145/S145,"")</f>
        <v/>
      </c>
      <c r="X145" s="24">
        <f>IF(AND(ISNUMBER(S145),S145&gt;0,ISNUMBER(T145)),T145/S145,"")</f>
        <v/>
      </c>
      <c r="Y145" s="8">
        <f>IF(A145="","",IF(N(R145)&lt;Settings!$B$4*Settings!$B$6,"Testing",IF(N(T145)=0,"Kill",IF(V145&lt;=Settings!$B$4,"Winner",IF(V145&lt;=Settings!$B$4*Settings!$B$5,"Watch","Kill")))))</f>
        <v/>
      </c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5" t="n"/>
      <c r="S146" s="2" t="n"/>
      <c r="T146" s="2" t="n"/>
      <c r="U146" s="10" t="n"/>
      <c r="V146" s="23">
        <f>IF(AND(ISNUMBER(T146),T146&gt;0),R146/T146,"")</f>
        <v/>
      </c>
      <c r="W146" s="23">
        <f>IF(AND(ISNUMBER(S146),S146&gt;0),R146/S146,"")</f>
        <v/>
      </c>
      <c r="X146" s="24">
        <f>IF(AND(ISNUMBER(S146),S146&gt;0,ISNUMBER(T146)),T146/S146,"")</f>
        <v/>
      </c>
      <c r="Y146" s="8">
        <f>IF(A146="","",IF(N(R146)&lt;Settings!$B$4*Settings!$B$6,"Testing",IF(N(T146)=0,"Kill",IF(V146&lt;=Settings!$B$4,"Winner",IF(V146&lt;=Settings!$B$4*Settings!$B$5,"Watch","Kill")))))</f>
        <v/>
      </c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5" t="n"/>
      <c r="S147" s="2" t="n"/>
      <c r="T147" s="2" t="n"/>
      <c r="U147" s="10" t="n"/>
      <c r="V147" s="23">
        <f>IF(AND(ISNUMBER(T147),T147&gt;0),R147/T147,"")</f>
        <v/>
      </c>
      <c r="W147" s="23">
        <f>IF(AND(ISNUMBER(S147),S147&gt;0),R147/S147,"")</f>
        <v/>
      </c>
      <c r="X147" s="24">
        <f>IF(AND(ISNUMBER(S147),S147&gt;0,ISNUMBER(T147)),T147/S147,"")</f>
        <v/>
      </c>
      <c r="Y147" s="8">
        <f>IF(A147="","",IF(N(R147)&lt;Settings!$B$4*Settings!$B$6,"Testing",IF(N(T147)=0,"Kill",IF(V147&lt;=Settings!$B$4,"Winner",IF(V147&lt;=Settings!$B$4*Settings!$B$5,"Watch","Kill")))))</f>
        <v/>
      </c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5" t="n"/>
      <c r="S148" s="2" t="n"/>
      <c r="T148" s="2" t="n"/>
      <c r="U148" s="10" t="n"/>
      <c r="V148" s="23">
        <f>IF(AND(ISNUMBER(T148),T148&gt;0),R148/T148,"")</f>
        <v/>
      </c>
      <c r="W148" s="23">
        <f>IF(AND(ISNUMBER(S148),S148&gt;0),R148/S148,"")</f>
        <v/>
      </c>
      <c r="X148" s="24">
        <f>IF(AND(ISNUMBER(S148),S148&gt;0,ISNUMBER(T148)),T148/S148,"")</f>
        <v/>
      </c>
      <c r="Y148" s="8">
        <f>IF(A148="","",IF(N(R148)&lt;Settings!$B$4*Settings!$B$6,"Testing",IF(N(T148)=0,"Kill",IF(V148&lt;=Settings!$B$4,"Winner",IF(V148&lt;=Settings!$B$4*Settings!$B$5,"Watch","Kill")))))</f>
        <v/>
      </c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5" t="n"/>
      <c r="S149" s="2" t="n"/>
      <c r="T149" s="2" t="n"/>
      <c r="U149" s="10" t="n"/>
      <c r="V149" s="23">
        <f>IF(AND(ISNUMBER(T149),T149&gt;0),R149/T149,"")</f>
        <v/>
      </c>
      <c r="W149" s="23">
        <f>IF(AND(ISNUMBER(S149),S149&gt;0),R149/S149,"")</f>
        <v/>
      </c>
      <c r="X149" s="24">
        <f>IF(AND(ISNUMBER(S149),S149&gt;0,ISNUMBER(T149)),T149/S149,"")</f>
        <v/>
      </c>
      <c r="Y149" s="8">
        <f>IF(A149="","",IF(N(R149)&lt;Settings!$B$4*Settings!$B$6,"Testing",IF(N(T149)=0,"Kill",IF(V149&lt;=Settings!$B$4,"Winner",IF(V149&lt;=Settings!$B$4*Settings!$B$5,"Watch","Kill")))))</f>
        <v/>
      </c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5" t="n"/>
      <c r="S150" s="2" t="n"/>
      <c r="T150" s="2" t="n"/>
      <c r="U150" s="10" t="n"/>
      <c r="V150" s="23">
        <f>IF(AND(ISNUMBER(T150),T150&gt;0),R150/T150,"")</f>
        <v/>
      </c>
      <c r="W150" s="23">
        <f>IF(AND(ISNUMBER(S150),S150&gt;0),R150/S150,"")</f>
        <v/>
      </c>
      <c r="X150" s="24">
        <f>IF(AND(ISNUMBER(S150),S150&gt;0,ISNUMBER(T150)),T150/S150,"")</f>
        <v/>
      </c>
      <c r="Y150" s="8">
        <f>IF(A150="","",IF(N(R150)&lt;Settings!$B$4*Settings!$B$6,"Testing",IF(N(T150)=0,"Kill",IF(V150&lt;=Settings!$B$4,"Winner",IF(V150&lt;=Settings!$B$4*Settings!$B$5,"Watch","Kill")))))</f>
        <v/>
      </c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5" t="n"/>
      <c r="S151" s="2" t="n"/>
      <c r="T151" s="2" t="n"/>
      <c r="U151" s="10" t="n"/>
      <c r="V151" s="23">
        <f>IF(AND(ISNUMBER(T151),T151&gt;0),R151/T151,"")</f>
        <v/>
      </c>
      <c r="W151" s="23">
        <f>IF(AND(ISNUMBER(S151),S151&gt;0),R151/S151,"")</f>
        <v/>
      </c>
      <c r="X151" s="24">
        <f>IF(AND(ISNUMBER(S151),S151&gt;0,ISNUMBER(T151)),T151/S151,"")</f>
        <v/>
      </c>
      <c r="Y151" s="8">
        <f>IF(A151="","",IF(N(R151)&lt;Settings!$B$4*Settings!$B$6,"Testing",IF(N(T151)=0,"Kill",IF(V151&lt;=Settings!$B$4,"Winner",IF(V151&lt;=Settings!$B$4*Settings!$B$5,"Watch","Kill")))))</f>
        <v/>
      </c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5" t="n"/>
      <c r="S152" s="2" t="n"/>
      <c r="T152" s="2" t="n"/>
      <c r="U152" s="10" t="n"/>
      <c r="V152" s="23">
        <f>IF(AND(ISNUMBER(T152),T152&gt;0),R152/T152,"")</f>
        <v/>
      </c>
      <c r="W152" s="23">
        <f>IF(AND(ISNUMBER(S152),S152&gt;0),R152/S152,"")</f>
        <v/>
      </c>
      <c r="X152" s="24">
        <f>IF(AND(ISNUMBER(S152),S152&gt;0,ISNUMBER(T152)),T152/S152,"")</f>
        <v/>
      </c>
      <c r="Y152" s="8">
        <f>IF(A152="","",IF(N(R152)&lt;Settings!$B$4*Settings!$B$6,"Testing",IF(N(T152)=0,"Kill",IF(V152&lt;=Settings!$B$4,"Winner",IF(V152&lt;=Settings!$B$4*Settings!$B$5,"Watch","Kill")))))</f>
        <v/>
      </c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5" t="n"/>
      <c r="S153" s="2" t="n"/>
      <c r="T153" s="2" t="n"/>
      <c r="U153" s="10" t="n"/>
      <c r="V153" s="23">
        <f>IF(AND(ISNUMBER(T153),T153&gt;0),R153/T153,"")</f>
        <v/>
      </c>
      <c r="W153" s="23">
        <f>IF(AND(ISNUMBER(S153),S153&gt;0),R153/S153,"")</f>
        <v/>
      </c>
      <c r="X153" s="24">
        <f>IF(AND(ISNUMBER(S153),S153&gt;0,ISNUMBER(T153)),T153/S153,"")</f>
        <v/>
      </c>
      <c r="Y153" s="8">
        <f>IF(A153="","",IF(N(R153)&lt;Settings!$B$4*Settings!$B$6,"Testing",IF(N(T153)=0,"Kill",IF(V153&lt;=Settings!$B$4,"Winner",IF(V153&lt;=Settings!$B$4*Settings!$B$5,"Watch","Kill")))))</f>
        <v/>
      </c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5" t="n"/>
      <c r="S154" s="2" t="n"/>
      <c r="T154" s="2" t="n"/>
      <c r="U154" s="10" t="n"/>
      <c r="V154" s="23">
        <f>IF(AND(ISNUMBER(T154),T154&gt;0),R154/T154,"")</f>
        <v/>
      </c>
      <c r="W154" s="23">
        <f>IF(AND(ISNUMBER(S154),S154&gt;0),R154/S154,"")</f>
        <v/>
      </c>
      <c r="X154" s="24">
        <f>IF(AND(ISNUMBER(S154),S154&gt;0,ISNUMBER(T154)),T154/S154,"")</f>
        <v/>
      </c>
      <c r="Y154" s="8">
        <f>IF(A154="","",IF(N(R154)&lt;Settings!$B$4*Settings!$B$6,"Testing",IF(N(T154)=0,"Kill",IF(V154&lt;=Settings!$B$4,"Winner",IF(V154&lt;=Settings!$B$4*Settings!$B$5,"Watch","Kill")))))</f>
        <v/>
      </c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5" t="n"/>
      <c r="S155" s="2" t="n"/>
      <c r="T155" s="2" t="n"/>
      <c r="U155" s="10" t="n"/>
      <c r="V155" s="23">
        <f>IF(AND(ISNUMBER(T155),T155&gt;0),R155/T155,"")</f>
        <v/>
      </c>
      <c r="W155" s="23">
        <f>IF(AND(ISNUMBER(S155),S155&gt;0),R155/S155,"")</f>
        <v/>
      </c>
      <c r="X155" s="24">
        <f>IF(AND(ISNUMBER(S155),S155&gt;0,ISNUMBER(T155)),T155/S155,"")</f>
        <v/>
      </c>
      <c r="Y155" s="8">
        <f>IF(A155="","",IF(N(R155)&lt;Settings!$B$4*Settings!$B$6,"Testing",IF(N(T155)=0,"Kill",IF(V155&lt;=Settings!$B$4,"Winner",IF(V155&lt;=Settings!$B$4*Settings!$B$5,"Watch","Kill")))))</f>
        <v/>
      </c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5" t="n"/>
      <c r="S156" s="2" t="n"/>
      <c r="T156" s="2" t="n"/>
      <c r="U156" s="10" t="n"/>
      <c r="V156" s="23">
        <f>IF(AND(ISNUMBER(T156),T156&gt;0),R156/T156,"")</f>
        <v/>
      </c>
      <c r="W156" s="23">
        <f>IF(AND(ISNUMBER(S156),S156&gt;0),R156/S156,"")</f>
        <v/>
      </c>
      <c r="X156" s="24">
        <f>IF(AND(ISNUMBER(S156),S156&gt;0,ISNUMBER(T156)),T156/S156,"")</f>
        <v/>
      </c>
      <c r="Y156" s="8">
        <f>IF(A156="","",IF(N(R156)&lt;Settings!$B$4*Settings!$B$6,"Testing",IF(N(T156)=0,"Kill",IF(V156&lt;=Settings!$B$4,"Winner",IF(V156&lt;=Settings!$B$4*Settings!$B$5,"Watch","Kill")))))</f>
        <v/>
      </c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5" t="n"/>
      <c r="S157" s="2" t="n"/>
      <c r="T157" s="2" t="n"/>
      <c r="U157" s="10" t="n"/>
      <c r="V157" s="23">
        <f>IF(AND(ISNUMBER(T157),T157&gt;0),R157/T157,"")</f>
        <v/>
      </c>
      <c r="W157" s="23">
        <f>IF(AND(ISNUMBER(S157),S157&gt;0),R157/S157,"")</f>
        <v/>
      </c>
      <c r="X157" s="24">
        <f>IF(AND(ISNUMBER(S157),S157&gt;0,ISNUMBER(T157)),T157/S157,"")</f>
        <v/>
      </c>
      <c r="Y157" s="8">
        <f>IF(A157="","",IF(N(R157)&lt;Settings!$B$4*Settings!$B$6,"Testing",IF(N(T157)=0,"Kill",IF(V157&lt;=Settings!$B$4,"Winner",IF(V157&lt;=Settings!$B$4*Settings!$B$5,"Watch","Kill")))))</f>
        <v/>
      </c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5" t="n"/>
      <c r="S158" s="2" t="n"/>
      <c r="T158" s="2" t="n"/>
      <c r="U158" s="10" t="n"/>
      <c r="V158" s="23">
        <f>IF(AND(ISNUMBER(T158),T158&gt;0),R158/T158,"")</f>
        <v/>
      </c>
      <c r="W158" s="23">
        <f>IF(AND(ISNUMBER(S158),S158&gt;0),R158/S158,"")</f>
        <v/>
      </c>
      <c r="X158" s="24">
        <f>IF(AND(ISNUMBER(S158),S158&gt;0,ISNUMBER(T158)),T158/S158,"")</f>
        <v/>
      </c>
      <c r="Y158" s="8">
        <f>IF(A158="","",IF(N(R158)&lt;Settings!$B$4*Settings!$B$6,"Testing",IF(N(T158)=0,"Kill",IF(V158&lt;=Settings!$B$4,"Winner",IF(V158&lt;=Settings!$B$4*Settings!$B$5,"Watch","Kill")))))</f>
        <v/>
      </c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5" t="n"/>
      <c r="S159" s="2" t="n"/>
      <c r="T159" s="2" t="n"/>
      <c r="U159" s="10" t="n"/>
      <c r="V159" s="23">
        <f>IF(AND(ISNUMBER(T159),T159&gt;0),R159/T159,"")</f>
        <v/>
      </c>
      <c r="W159" s="23">
        <f>IF(AND(ISNUMBER(S159),S159&gt;0),R159/S159,"")</f>
        <v/>
      </c>
      <c r="X159" s="24">
        <f>IF(AND(ISNUMBER(S159),S159&gt;0,ISNUMBER(T159)),T159/S159,"")</f>
        <v/>
      </c>
      <c r="Y159" s="8">
        <f>IF(A159="","",IF(N(R159)&lt;Settings!$B$4*Settings!$B$6,"Testing",IF(N(T159)=0,"Kill",IF(V159&lt;=Settings!$B$4,"Winner",IF(V159&lt;=Settings!$B$4*Settings!$B$5,"Watch","Kill")))))</f>
        <v/>
      </c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5" t="n"/>
      <c r="S160" s="2" t="n"/>
      <c r="T160" s="2" t="n"/>
      <c r="U160" s="10" t="n"/>
      <c r="V160" s="23">
        <f>IF(AND(ISNUMBER(T160),T160&gt;0),R160/T160,"")</f>
        <v/>
      </c>
      <c r="W160" s="23">
        <f>IF(AND(ISNUMBER(S160),S160&gt;0),R160/S160,"")</f>
        <v/>
      </c>
      <c r="X160" s="24">
        <f>IF(AND(ISNUMBER(S160),S160&gt;0,ISNUMBER(T160)),T160/S160,"")</f>
        <v/>
      </c>
      <c r="Y160" s="8">
        <f>IF(A160="","",IF(N(R160)&lt;Settings!$B$4*Settings!$B$6,"Testing",IF(N(T160)=0,"Kill",IF(V160&lt;=Settings!$B$4,"Winner",IF(V160&lt;=Settings!$B$4*Settings!$B$5,"Watch","Kill")))))</f>
        <v/>
      </c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5" t="n"/>
      <c r="S161" s="2" t="n"/>
      <c r="T161" s="2" t="n"/>
      <c r="U161" s="10" t="n"/>
      <c r="V161" s="23">
        <f>IF(AND(ISNUMBER(T161),T161&gt;0),R161/T161,"")</f>
        <v/>
      </c>
      <c r="W161" s="23">
        <f>IF(AND(ISNUMBER(S161),S161&gt;0),R161/S161,"")</f>
        <v/>
      </c>
      <c r="X161" s="24">
        <f>IF(AND(ISNUMBER(S161),S161&gt;0,ISNUMBER(T161)),T161/S161,"")</f>
        <v/>
      </c>
      <c r="Y161" s="8">
        <f>IF(A161="","",IF(N(R161)&lt;Settings!$B$4*Settings!$B$6,"Testing",IF(N(T161)=0,"Kill",IF(V161&lt;=Settings!$B$4,"Winner",IF(V161&lt;=Settings!$B$4*Settings!$B$5,"Watch","Kill")))))</f>
        <v/>
      </c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5" t="n"/>
      <c r="S162" s="2" t="n"/>
      <c r="T162" s="2" t="n"/>
      <c r="U162" s="10" t="n"/>
      <c r="V162" s="23">
        <f>IF(AND(ISNUMBER(T162),T162&gt;0),R162/T162,"")</f>
        <v/>
      </c>
      <c r="W162" s="23">
        <f>IF(AND(ISNUMBER(S162),S162&gt;0),R162/S162,"")</f>
        <v/>
      </c>
      <c r="X162" s="24">
        <f>IF(AND(ISNUMBER(S162),S162&gt;0,ISNUMBER(T162)),T162/S162,"")</f>
        <v/>
      </c>
      <c r="Y162" s="8">
        <f>IF(A162="","",IF(N(R162)&lt;Settings!$B$4*Settings!$B$6,"Testing",IF(N(T162)=0,"Kill",IF(V162&lt;=Settings!$B$4,"Winner",IF(V162&lt;=Settings!$B$4*Settings!$B$5,"Watch","Kill")))))</f>
        <v/>
      </c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5" t="n"/>
      <c r="S163" s="2" t="n"/>
      <c r="T163" s="2" t="n"/>
      <c r="U163" s="10" t="n"/>
      <c r="V163" s="23">
        <f>IF(AND(ISNUMBER(T163),T163&gt;0),R163/T163,"")</f>
        <v/>
      </c>
      <c r="W163" s="23">
        <f>IF(AND(ISNUMBER(S163),S163&gt;0),R163/S163,"")</f>
        <v/>
      </c>
      <c r="X163" s="24">
        <f>IF(AND(ISNUMBER(S163),S163&gt;0,ISNUMBER(T163)),T163/S163,"")</f>
        <v/>
      </c>
      <c r="Y163" s="8">
        <f>IF(A163="","",IF(N(R163)&lt;Settings!$B$4*Settings!$B$6,"Testing",IF(N(T163)=0,"Kill",IF(V163&lt;=Settings!$B$4,"Winner",IF(V163&lt;=Settings!$B$4*Settings!$B$5,"Watch","Kill")))))</f>
        <v/>
      </c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5" t="n"/>
      <c r="S164" s="2" t="n"/>
      <c r="T164" s="2" t="n"/>
      <c r="U164" s="10" t="n"/>
      <c r="V164" s="23">
        <f>IF(AND(ISNUMBER(T164),T164&gt;0),R164/T164,"")</f>
        <v/>
      </c>
      <c r="W164" s="23">
        <f>IF(AND(ISNUMBER(S164),S164&gt;0),R164/S164,"")</f>
        <v/>
      </c>
      <c r="X164" s="24">
        <f>IF(AND(ISNUMBER(S164),S164&gt;0,ISNUMBER(T164)),T164/S164,"")</f>
        <v/>
      </c>
      <c r="Y164" s="8">
        <f>IF(A164="","",IF(N(R164)&lt;Settings!$B$4*Settings!$B$6,"Testing",IF(N(T164)=0,"Kill",IF(V164&lt;=Settings!$B$4,"Winner",IF(V164&lt;=Settings!$B$4*Settings!$B$5,"Watch","Kill")))))</f>
        <v/>
      </c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5" t="n"/>
      <c r="S165" s="2" t="n"/>
      <c r="T165" s="2" t="n"/>
      <c r="U165" s="10" t="n"/>
      <c r="V165" s="23">
        <f>IF(AND(ISNUMBER(T165),T165&gt;0),R165/T165,"")</f>
        <v/>
      </c>
      <c r="W165" s="23">
        <f>IF(AND(ISNUMBER(S165),S165&gt;0),R165/S165,"")</f>
        <v/>
      </c>
      <c r="X165" s="24">
        <f>IF(AND(ISNUMBER(S165),S165&gt;0,ISNUMBER(T165)),T165/S165,"")</f>
        <v/>
      </c>
      <c r="Y165" s="8">
        <f>IF(A165="","",IF(N(R165)&lt;Settings!$B$4*Settings!$B$6,"Testing",IF(N(T165)=0,"Kill",IF(V165&lt;=Settings!$B$4,"Winner",IF(V165&lt;=Settings!$B$4*Settings!$B$5,"Watch","Kill")))))</f>
        <v/>
      </c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5" t="n"/>
      <c r="S166" s="2" t="n"/>
      <c r="T166" s="2" t="n"/>
      <c r="U166" s="10" t="n"/>
      <c r="V166" s="23">
        <f>IF(AND(ISNUMBER(T166),T166&gt;0),R166/T166,"")</f>
        <v/>
      </c>
      <c r="W166" s="23">
        <f>IF(AND(ISNUMBER(S166),S166&gt;0),R166/S166,"")</f>
        <v/>
      </c>
      <c r="X166" s="24">
        <f>IF(AND(ISNUMBER(S166),S166&gt;0,ISNUMBER(T166)),T166/S166,"")</f>
        <v/>
      </c>
      <c r="Y166" s="8">
        <f>IF(A166="","",IF(N(R166)&lt;Settings!$B$4*Settings!$B$6,"Testing",IF(N(T166)=0,"Kill",IF(V166&lt;=Settings!$B$4,"Winner",IF(V166&lt;=Settings!$B$4*Settings!$B$5,"Watch","Kill")))))</f>
        <v/>
      </c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5" t="n"/>
      <c r="S167" s="2" t="n"/>
      <c r="T167" s="2" t="n"/>
      <c r="U167" s="10" t="n"/>
      <c r="V167" s="23">
        <f>IF(AND(ISNUMBER(T167),T167&gt;0),R167/T167,"")</f>
        <v/>
      </c>
      <c r="W167" s="23">
        <f>IF(AND(ISNUMBER(S167),S167&gt;0),R167/S167,"")</f>
        <v/>
      </c>
      <c r="X167" s="24">
        <f>IF(AND(ISNUMBER(S167),S167&gt;0,ISNUMBER(T167)),T167/S167,"")</f>
        <v/>
      </c>
      <c r="Y167" s="8">
        <f>IF(A167="","",IF(N(R167)&lt;Settings!$B$4*Settings!$B$6,"Testing",IF(N(T167)=0,"Kill",IF(V167&lt;=Settings!$B$4,"Winner",IF(V167&lt;=Settings!$B$4*Settings!$B$5,"Watch","Kill")))))</f>
        <v/>
      </c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5" t="n"/>
      <c r="S168" s="2" t="n"/>
      <c r="T168" s="2" t="n"/>
      <c r="U168" s="10" t="n"/>
      <c r="V168" s="23">
        <f>IF(AND(ISNUMBER(T168),T168&gt;0),R168/T168,"")</f>
        <v/>
      </c>
      <c r="W168" s="23">
        <f>IF(AND(ISNUMBER(S168),S168&gt;0),R168/S168,"")</f>
        <v/>
      </c>
      <c r="X168" s="24">
        <f>IF(AND(ISNUMBER(S168),S168&gt;0,ISNUMBER(T168)),T168/S168,"")</f>
        <v/>
      </c>
      <c r="Y168" s="8">
        <f>IF(A168="","",IF(N(R168)&lt;Settings!$B$4*Settings!$B$6,"Testing",IF(N(T168)=0,"Kill",IF(V168&lt;=Settings!$B$4,"Winner",IF(V168&lt;=Settings!$B$4*Settings!$B$5,"Watch","Kill")))))</f>
        <v/>
      </c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5" t="n"/>
      <c r="S169" s="2" t="n"/>
      <c r="T169" s="2" t="n"/>
      <c r="U169" s="10" t="n"/>
      <c r="V169" s="23">
        <f>IF(AND(ISNUMBER(T169),T169&gt;0),R169/T169,"")</f>
        <v/>
      </c>
      <c r="W169" s="23">
        <f>IF(AND(ISNUMBER(S169),S169&gt;0),R169/S169,"")</f>
        <v/>
      </c>
      <c r="X169" s="24">
        <f>IF(AND(ISNUMBER(S169),S169&gt;0,ISNUMBER(T169)),T169/S169,"")</f>
        <v/>
      </c>
      <c r="Y169" s="8">
        <f>IF(A169="","",IF(N(R169)&lt;Settings!$B$4*Settings!$B$6,"Testing",IF(N(T169)=0,"Kill",IF(V169&lt;=Settings!$B$4,"Winner",IF(V169&lt;=Settings!$B$4*Settings!$B$5,"Watch","Kill")))))</f>
        <v/>
      </c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5" t="n"/>
      <c r="S170" s="2" t="n"/>
      <c r="T170" s="2" t="n"/>
      <c r="U170" s="10" t="n"/>
      <c r="V170" s="23">
        <f>IF(AND(ISNUMBER(T170),T170&gt;0),R170/T170,"")</f>
        <v/>
      </c>
      <c r="W170" s="23">
        <f>IF(AND(ISNUMBER(S170),S170&gt;0),R170/S170,"")</f>
        <v/>
      </c>
      <c r="X170" s="24">
        <f>IF(AND(ISNUMBER(S170),S170&gt;0,ISNUMBER(T170)),T170/S170,"")</f>
        <v/>
      </c>
      <c r="Y170" s="8">
        <f>IF(A170="","",IF(N(R170)&lt;Settings!$B$4*Settings!$B$6,"Testing",IF(N(T170)=0,"Kill",IF(V170&lt;=Settings!$B$4,"Winner",IF(V170&lt;=Settings!$B$4*Settings!$B$5,"Watch","Kill")))))</f>
        <v/>
      </c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5" t="n"/>
      <c r="S171" s="2" t="n"/>
      <c r="T171" s="2" t="n"/>
      <c r="U171" s="10" t="n"/>
      <c r="V171" s="23">
        <f>IF(AND(ISNUMBER(T171),T171&gt;0),R171/T171,"")</f>
        <v/>
      </c>
      <c r="W171" s="23">
        <f>IF(AND(ISNUMBER(S171),S171&gt;0),R171/S171,"")</f>
        <v/>
      </c>
      <c r="X171" s="24">
        <f>IF(AND(ISNUMBER(S171),S171&gt;0,ISNUMBER(T171)),T171/S171,"")</f>
        <v/>
      </c>
      <c r="Y171" s="8">
        <f>IF(A171="","",IF(N(R171)&lt;Settings!$B$4*Settings!$B$6,"Testing",IF(N(T171)=0,"Kill",IF(V171&lt;=Settings!$B$4,"Winner",IF(V171&lt;=Settings!$B$4*Settings!$B$5,"Watch","Kill")))))</f>
        <v/>
      </c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5" t="n"/>
      <c r="S172" s="2" t="n"/>
      <c r="T172" s="2" t="n"/>
      <c r="U172" s="10" t="n"/>
      <c r="V172" s="23">
        <f>IF(AND(ISNUMBER(T172),T172&gt;0),R172/T172,"")</f>
        <v/>
      </c>
      <c r="W172" s="23">
        <f>IF(AND(ISNUMBER(S172),S172&gt;0),R172/S172,"")</f>
        <v/>
      </c>
      <c r="X172" s="24">
        <f>IF(AND(ISNUMBER(S172),S172&gt;0,ISNUMBER(T172)),T172/S172,"")</f>
        <v/>
      </c>
      <c r="Y172" s="8">
        <f>IF(A172="","",IF(N(R172)&lt;Settings!$B$4*Settings!$B$6,"Testing",IF(N(T172)=0,"Kill",IF(V172&lt;=Settings!$B$4,"Winner",IF(V172&lt;=Settings!$B$4*Settings!$B$5,"Watch","Kill")))))</f>
        <v/>
      </c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5" t="n"/>
      <c r="S173" s="2" t="n"/>
      <c r="T173" s="2" t="n"/>
      <c r="U173" s="10" t="n"/>
      <c r="V173" s="23">
        <f>IF(AND(ISNUMBER(T173),T173&gt;0),R173/T173,"")</f>
        <v/>
      </c>
      <c r="W173" s="23">
        <f>IF(AND(ISNUMBER(S173),S173&gt;0),R173/S173,"")</f>
        <v/>
      </c>
      <c r="X173" s="24">
        <f>IF(AND(ISNUMBER(S173),S173&gt;0,ISNUMBER(T173)),T173/S173,"")</f>
        <v/>
      </c>
      <c r="Y173" s="8">
        <f>IF(A173="","",IF(N(R173)&lt;Settings!$B$4*Settings!$B$6,"Testing",IF(N(T173)=0,"Kill",IF(V173&lt;=Settings!$B$4,"Winner",IF(V173&lt;=Settings!$B$4*Settings!$B$5,"Watch","Kill")))))</f>
        <v/>
      </c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5" t="n"/>
      <c r="S174" s="2" t="n"/>
      <c r="T174" s="2" t="n"/>
      <c r="U174" s="10" t="n"/>
      <c r="V174" s="23">
        <f>IF(AND(ISNUMBER(T174),T174&gt;0),R174/T174,"")</f>
        <v/>
      </c>
      <c r="W174" s="23">
        <f>IF(AND(ISNUMBER(S174),S174&gt;0),R174/S174,"")</f>
        <v/>
      </c>
      <c r="X174" s="24">
        <f>IF(AND(ISNUMBER(S174),S174&gt;0,ISNUMBER(T174)),T174/S174,"")</f>
        <v/>
      </c>
      <c r="Y174" s="8">
        <f>IF(A174="","",IF(N(R174)&lt;Settings!$B$4*Settings!$B$6,"Testing",IF(N(T174)=0,"Kill",IF(V174&lt;=Settings!$B$4,"Winner",IF(V174&lt;=Settings!$B$4*Settings!$B$5,"Watch","Kill")))))</f>
        <v/>
      </c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5" t="n"/>
      <c r="S175" s="2" t="n"/>
      <c r="T175" s="2" t="n"/>
      <c r="U175" s="10" t="n"/>
      <c r="V175" s="23">
        <f>IF(AND(ISNUMBER(T175),T175&gt;0),R175/T175,"")</f>
        <v/>
      </c>
      <c r="W175" s="23">
        <f>IF(AND(ISNUMBER(S175),S175&gt;0),R175/S175,"")</f>
        <v/>
      </c>
      <c r="X175" s="24">
        <f>IF(AND(ISNUMBER(S175),S175&gt;0,ISNUMBER(T175)),T175/S175,"")</f>
        <v/>
      </c>
      <c r="Y175" s="8">
        <f>IF(A175="","",IF(N(R175)&lt;Settings!$B$4*Settings!$B$6,"Testing",IF(N(T175)=0,"Kill",IF(V175&lt;=Settings!$B$4,"Winner",IF(V175&lt;=Settings!$B$4*Settings!$B$5,"Watch","Kill")))))</f>
        <v/>
      </c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5" t="n"/>
      <c r="S176" s="2" t="n"/>
      <c r="T176" s="2" t="n"/>
      <c r="U176" s="10" t="n"/>
      <c r="V176" s="23">
        <f>IF(AND(ISNUMBER(T176),T176&gt;0),R176/T176,"")</f>
        <v/>
      </c>
      <c r="W176" s="23">
        <f>IF(AND(ISNUMBER(S176),S176&gt;0),R176/S176,"")</f>
        <v/>
      </c>
      <c r="X176" s="24">
        <f>IF(AND(ISNUMBER(S176),S176&gt;0,ISNUMBER(T176)),T176/S176,"")</f>
        <v/>
      </c>
      <c r="Y176" s="8">
        <f>IF(A176="","",IF(N(R176)&lt;Settings!$B$4*Settings!$B$6,"Testing",IF(N(T176)=0,"Kill",IF(V176&lt;=Settings!$B$4,"Winner",IF(V176&lt;=Settings!$B$4*Settings!$B$5,"Watch","Kill")))))</f>
        <v/>
      </c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5" t="n"/>
      <c r="S177" s="2" t="n"/>
      <c r="T177" s="2" t="n"/>
      <c r="U177" s="10" t="n"/>
      <c r="V177" s="23">
        <f>IF(AND(ISNUMBER(T177),T177&gt;0),R177/T177,"")</f>
        <v/>
      </c>
      <c r="W177" s="23">
        <f>IF(AND(ISNUMBER(S177),S177&gt;0),R177/S177,"")</f>
        <v/>
      </c>
      <c r="X177" s="24">
        <f>IF(AND(ISNUMBER(S177),S177&gt;0,ISNUMBER(T177)),T177/S177,"")</f>
        <v/>
      </c>
      <c r="Y177" s="8">
        <f>IF(A177="","",IF(N(R177)&lt;Settings!$B$4*Settings!$B$6,"Testing",IF(N(T177)=0,"Kill",IF(V177&lt;=Settings!$B$4,"Winner",IF(V177&lt;=Settings!$B$4*Settings!$B$5,"Watch","Kill")))))</f>
        <v/>
      </c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5" t="n"/>
      <c r="S178" s="2" t="n"/>
      <c r="T178" s="2" t="n"/>
      <c r="U178" s="10" t="n"/>
      <c r="V178" s="23">
        <f>IF(AND(ISNUMBER(T178),T178&gt;0),R178/T178,"")</f>
        <v/>
      </c>
      <c r="W178" s="23">
        <f>IF(AND(ISNUMBER(S178),S178&gt;0),R178/S178,"")</f>
        <v/>
      </c>
      <c r="X178" s="24">
        <f>IF(AND(ISNUMBER(S178),S178&gt;0,ISNUMBER(T178)),T178/S178,"")</f>
        <v/>
      </c>
      <c r="Y178" s="8">
        <f>IF(A178="","",IF(N(R178)&lt;Settings!$B$4*Settings!$B$6,"Testing",IF(N(T178)=0,"Kill",IF(V178&lt;=Settings!$B$4,"Winner",IF(V178&lt;=Settings!$B$4*Settings!$B$5,"Watch","Kill")))))</f>
        <v/>
      </c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5" t="n"/>
      <c r="S179" s="2" t="n"/>
      <c r="T179" s="2" t="n"/>
      <c r="U179" s="10" t="n"/>
      <c r="V179" s="23">
        <f>IF(AND(ISNUMBER(T179),T179&gt;0),R179/T179,"")</f>
        <v/>
      </c>
      <c r="W179" s="23">
        <f>IF(AND(ISNUMBER(S179),S179&gt;0),R179/S179,"")</f>
        <v/>
      </c>
      <c r="X179" s="24">
        <f>IF(AND(ISNUMBER(S179),S179&gt;0,ISNUMBER(T179)),T179/S179,"")</f>
        <v/>
      </c>
      <c r="Y179" s="8">
        <f>IF(A179="","",IF(N(R179)&lt;Settings!$B$4*Settings!$B$6,"Testing",IF(N(T179)=0,"Kill",IF(V179&lt;=Settings!$B$4,"Winner",IF(V179&lt;=Settings!$B$4*Settings!$B$5,"Watch","Kill")))))</f>
        <v/>
      </c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5" t="n"/>
      <c r="S180" s="2" t="n"/>
      <c r="T180" s="2" t="n"/>
      <c r="U180" s="10" t="n"/>
      <c r="V180" s="23">
        <f>IF(AND(ISNUMBER(T180),T180&gt;0),R180/T180,"")</f>
        <v/>
      </c>
      <c r="W180" s="23">
        <f>IF(AND(ISNUMBER(S180),S180&gt;0),R180/S180,"")</f>
        <v/>
      </c>
      <c r="X180" s="24">
        <f>IF(AND(ISNUMBER(S180),S180&gt;0,ISNUMBER(T180)),T180/S180,"")</f>
        <v/>
      </c>
      <c r="Y180" s="8">
        <f>IF(A180="","",IF(N(R180)&lt;Settings!$B$4*Settings!$B$6,"Testing",IF(N(T180)=0,"Kill",IF(V180&lt;=Settings!$B$4,"Winner",IF(V180&lt;=Settings!$B$4*Settings!$B$5,"Watch","Kill")))))</f>
        <v/>
      </c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5" t="n"/>
      <c r="S181" s="2" t="n"/>
      <c r="T181" s="2" t="n"/>
      <c r="U181" s="10" t="n"/>
      <c r="V181" s="23">
        <f>IF(AND(ISNUMBER(T181),T181&gt;0),R181/T181,"")</f>
        <v/>
      </c>
      <c r="W181" s="23">
        <f>IF(AND(ISNUMBER(S181),S181&gt;0),R181/S181,"")</f>
        <v/>
      </c>
      <c r="X181" s="24">
        <f>IF(AND(ISNUMBER(S181),S181&gt;0,ISNUMBER(T181)),T181/S181,"")</f>
        <v/>
      </c>
      <c r="Y181" s="8">
        <f>IF(A181="","",IF(N(R181)&lt;Settings!$B$4*Settings!$B$6,"Testing",IF(N(T181)=0,"Kill",IF(V181&lt;=Settings!$B$4,"Winner",IF(V181&lt;=Settings!$B$4*Settings!$B$5,"Watch","Kill")))))</f>
        <v/>
      </c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5" t="n"/>
      <c r="S182" s="2" t="n"/>
      <c r="T182" s="2" t="n"/>
      <c r="U182" s="10" t="n"/>
      <c r="V182" s="23">
        <f>IF(AND(ISNUMBER(T182),T182&gt;0),R182/T182,"")</f>
        <v/>
      </c>
      <c r="W182" s="23">
        <f>IF(AND(ISNUMBER(S182),S182&gt;0),R182/S182,"")</f>
        <v/>
      </c>
      <c r="X182" s="24">
        <f>IF(AND(ISNUMBER(S182),S182&gt;0,ISNUMBER(T182)),T182/S182,"")</f>
        <v/>
      </c>
      <c r="Y182" s="8">
        <f>IF(A182="","",IF(N(R182)&lt;Settings!$B$4*Settings!$B$6,"Testing",IF(N(T182)=0,"Kill",IF(V182&lt;=Settings!$B$4,"Winner",IF(V182&lt;=Settings!$B$4*Settings!$B$5,"Watch","Kill")))))</f>
        <v/>
      </c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5" t="n"/>
      <c r="S183" s="2" t="n"/>
      <c r="T183" s="2" t="n"/>
      <c r="U183" s="10" t="n"/>
      <c r="V183" s="23">
        <f>IF(AND(ISNUMBER(T183),T183&gt;0),R183/T183,"")</f>
        <v/>
      </c>
      <c r="W183" s="23">
        <f>IF(AND(ISNUMBER(S183),S183&gt;0),R183/S183,"")</f>
        <v/>
      </c>
      <c r="X183" s="24">
        <f>IF(AND(ISNUMBER(S183),S183&gt;0,ISNUMBER(T183)),T183/S183,"")</f>
        <v/>
      </c>
      <c r="Y183" s="8">
        <f>IF(A183="","",IF(N(R183)&lt;Settings!$B$4*Settings!$B$6,"Testing",IF(N(T183)=0,"Kill",IF(V183&lt;=Settings!$B$4,"Winner",IF(V183&lt;=Settings!$B$4*Settings!$B$5,"Watch","Kill")))))</f>
        <v/>
      </c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5" t="n"/>
      <c r="S184" s="2" t="n"/>
      <c r="T184" s="2" t="n"/>
      <c r="U184" s="10" t="n"/>
      <c r="V184" s="23">
        <f>IF(AND(ISNUMBER(T184),T184&gt;0),R184/T184,"")</f>
        <v/>
      </c>
      <c r="W184" s="23">
        <f>IF(AND(ISNUMBER(S184),S184&gt;0),R184/S184,"")</f>
        <v/>
      </c>
      <c r="X184" s="24">
        <f>IF(AND(ISNUMBER(S184),S184&gt;0,ISNUMBER(T184)),T184/S184,"")</f>
        <v/>
      </c>
      <c r="Y184" s="8">
        <f>IF(A184="","",IF(N(R184)&lt;Settings!$B$4*Settings!$B$6,"Testing",IF(N(T184)=0,"Kill",IF(V184&lt;=Settings!$B$4,"Winner",IF(V184&lt;=Settings!$B$4*Settings!$B$5,"Watch","Kill")))))</f>
        <v/>
      </c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5" t="n"/>
      <c r="S185" s="2" t="n"/>
      <c r="T185" s="2" t="n"/>
      <c r="U185" s="10" t="n"/>
      <c r="V185" s="23">
        <f>IF(AND(ISNUMBER(T185),T185&gt;0),R185/T185,"")</f>
        <v/>
      </c>
      <c r="W185" s="23">
        <f>IF(AND(ISNUMBER(S185),S185&gt;0),R185/S185,"")</f>
        <v/>
      </c>
      <c r="X185" s="24">
        <f>IF(AND(ISNUMBER(S185),S185&gt;0,ISNUMBER(T185)),T185/S185,"")</f>
        <v/>
      </c>
      <c r="Y185" s="8">
        <f>IF(A185="","",IF(N(R185)&lt;Settings!$B$4*Settings!$B$6,"Testing",IF(N(T185)=0,"Kill",IF(V185&lt;=Settings!$B$4,"Winner",IF(V185&lt;=Settings!$B$4*Settings!$B$5,"Watch","Kill")))))</f>
        <v/>
      </c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5" t="n"/>
      <c r="S186" s="2" t="n"/>
      <c r="T186" s="2" t="n"/>
      <c r="U186" s="10" t="n"/>
      <c r="V186" s="23">
        <f>IF(AND(ISNUMBER(T186),T186&gt;0),R186/T186,"")</f>
        <v/>
      </c>
      <c r="W186" s="23">
        <f>IF(AND(ISNUMBER(S186),S186&gt;0),R186/S186,"")</f>
        <v/>
      </c>
      <c r="X186" s="24">
        <f>IF(AND(ISNUMBER(S186),S186&gt;0,ISNUMBER(T186)),T186/S186,"")</f>
        <v/>
      </c>
      <c r="Y186" s="8">
        <f>IF(A186="","",IF(N(R186)&lt;Settings!$B$4*Settings!$B$6,"Testing",IF(N(T186)=0,"Kill",IF(V186&lt;=Settings!$B$4,"Winner",IF(V186&lt;=Settings!$B$4*Settings!$B$5,"Watch","Kill")))))</f>
        <v/>
      </c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5" t="n"/>
      <c r="S187" s="2" t="n"/>
      <c r="T187" s="2" t="n"/>
      <c r="U187" s="10" t="n"/>
      <c r="V187" s="23">
        <f>IF(AND(ISNUMBER(T187),T187&gt;0),R187/T187,"")</f>
        <v/>
      </c>
      <c r="W187" s="23">
        <f>IF(AND(ISNUMBER(S187),S187&gt;0),R187/S187,"")</f>
        <v/>
      </c>
      <c r="X187" s="24">
        <f>IF(AND(ISNUMBER(S187),S187&gt;0,ISNUMBER(T187)),T187/S187,"")</f>
        <v/>
      </c>
      <c r="Y187" s="8">
        <f>IF(A187="","",IF(N(R187)&lt;Settings!$B$4*Settings!$B$6,"Testing",IF(N(T187)=0,"Kill",IF(V187&lt;=Settings!$B$4,"Winner",IF(V187&lt;=Settings!$B$4*Settings!$B$5,"Watch","Kill")))))</f>
        <v/>
      </c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5" t="n"/>
      <c r="S188" s="2" t="n"/>
      <c r="T188" s="2" t="n"/>
      <c r="U188" s="10" t="n"/>
      <c r="V188" s="23">
        <f>IF(AND(ISNUMBER(T188),T188&gt;0),R188/T188,"")</f>
        <v/>
      </c>
      <c r="W188" s="23">
        <f>IF(AND(ISNUMBER(S188),S188&gt;0),R188/S188,"")</f>
        <v/>
      </c>
      <c r="X188" s="24">
        <f>IF(AND(ISNUMBER(S188),S188&gt;0,ISNUMBER(T188)),T188/S188,"")</f>
        <v/>
      </c>
      <c r="Y188" s="8">
        <f>IF(A188="","",IF(N(R188)&lt;Settings!$B$4*Settings!$B$6,"Testing",IF(N(T188)=0,"Kill",IF(V188&lt;=Settings!$B$4,"Winner",IF(V188&lt;=Settings!$B$4*Settings!$B$5,"Watch","Kill")))))</f>
        <v/>
      </c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5" t="n"/>
      <c r="S189" s="2" t="n"/>
      <c r="T189" s="2" t="n"/>
      <c r="U189" s="10" t="n"/>
      <c r="V189" s="23">
        <f>IF(AND(ISNUMBER(T189),T189&gt;0),R189/T189,"")</f>
        <v/>
      </c>
      <c r="W189" s="23">
        <f>IF(AND(ISNUMBER(S189),S189&gt;0),R189/S189,"")</f>
        <v/>
      </c>
      <c r="X189" s="24">
        <f>IF(AND(ISNUMBER(S189),S189&gt;0,ISNUMBER(T189)),T189/S189,"")</f>
        <v/>
      </c>
      <c r="Y189" s="8">
        <f>IF(A189="","",IF(N(R189)&lt;Settings!$B$4*Settings!$B$6,"Testing",IF(N(T189)=0,"Kill",IF(V189&lt;=Settings!$B$4,"Winner",IF(V189&lt;=Settings!$B$4*Settings!$B$5,"Watch","Kill")))))</f>
        <v/>
      </c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5" t="n"/>
      <c r="S190" s="2" t="n"/>
      <c r="T190" s="2" t="n"/>
      <c r="U190" s="10" t="n"/>
      <c r="V190" s="23">
        <f>IF(AND(ISNUMBER(T190),T190&gt;0),R190/T190,"")</f>
        <v/>
      </c>
      <c r="W190" s="23">
        <f>IF(AND(ISNUMBER(S190),S190&gt;0),R190/S190,"")</f>
        <v/>
      </c>
      <c r="X190" s="24">
        <f>IF(AND(ISNUMBER(S190),S190&gt;0,ISNUMBER(T190)),T190/S190,"")</f>
        <v/>
      </c>
      <c r="Y190" s="8">
        <f>IF(A190="","",IF(N(R190)&lt;Settings!$B$4*Settings!$B$6,"Testing",IF(N(T190)=0,"Kill",IF(V190&lt;=Settings!$B$4,"Winner",IF(V190&lt;=Settings!$B$4*Settings!$B$5,"Watch","Kill")))))</f>
        <v/>
      </c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5" t="n"/>
      <c r="S191" s="2" t="n"/>
      <c r="T191" s="2" t="n"/>
      <c r="U191" s="10" t="n"/>
      <c r="V191" s="23">
        <f>IF(AND(ISNUMBER(T191),T191&gt;0),R191/T191,"")</f>
        <v/>
      </c>
      <c r="W191" s="23">
        <f>IF(AND(ISNUMBER(S191),S191&gt;0),R191/S191,"")</f>
        <v/>
      </c>
      <c r="X191" s="24">
        <f>IF(AND(ISNUMBER(S191),S191&gt;0,ISNUMBER(T191)),T191/S191,"")</f>
        <v/>
      </c>
      <c r="Y191" s="8">
        <f>IF(A191="","",IF(N(R191)&lt;Settings!$B$4*Settings!$B$6,"Testing",IF(N(T191)=0,"Kill",IF(V191&lt;=Settings!$B$4,"Winner",IF(V191&lt;=Settings!$B$4*Settings!$B$5,"Watch","Kill")))))</f>
        <v/>
      </c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5" t="n"/>
      <c r="S192" s="2" t="n"/>
      <c r="T192" s="2" t="n"/>
      <c r="U192" s="10" t="n"/>
      <c r="V192" s="23">
        <f>IF(AND(ISNUMBER(T192),T192&gt;0),R192/T192,"")</f>
        <v/>
      </c>
      <c r="W192" s="23">
        <f>IF(AND(ISNUMBER(S192),S192&gt;0),R192/S192,"")</f>
        <v/>
      </c>
      <c r="X192" s="24">
        <f>IF(AND(ISNUMBER(S192),S192&gt;0,ISNUMBER(T192)),T192/S192,"")</f>
        <v/>
      </c>
      <c r="Y192" s="8">
        <f>IF(A192="","",IF(N(R192)&lt;Settings!$B$4*Settings!$B$6,"Testing",IF(N(T192)=0,"Kill",IF(V192&lt;=Settings!$B$4,"Winner",IF(V192&lt;=Settings!$B$4*Settings!$B$5,"Watch","Kill")))))</f>
        <v/>
      </c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5" t="n"/>
      <c r="S193" s="2" t="n"/>
      <c r="T193" s="2" t="n"/>
      <c r="U193" s="10" t="n"/>
      <c r="V193" s="23">
        <f>IF(AND(ISNUMBER(T193),T193&gt;0),R193/T193,"")</f>
        <v/>
      </c>
      <c r="W193" s="23">
        <f>IF(AND(ISNUMBER(S193),S193&gt;0),R193/S193,"")</f>
        <v/>
      </c>
      <c r="X193" s="24">
        <f>IF(AND(ISNUMBER(S193),S193&gt;0,ISNUMBER(T193)),T193/S193,"")</f>
        <v/>
      </c>
      <c r="Y193" s="8">
        <f>IF(A193="","",IF(N(R193)&lt;Settings!$B$4*Settings!$B$6,"Testing",IF(N(T193)=0,"Kill",IF(V193&lt;=Settings!$B$4,"Winner",IF(V193&lt;=Settings!$B$4*Settings!$B$5,"Watch","Kill")))))</f>
        <v/>
      </c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5" t="n"/>
      <c r="S194" s="2" t="n"/>
      <c r="T194" s="2" t="n"/>
      <c r="U194" s="10" t="n"/>
      <c r="V194" s="23">
        <f>IF(AND(ISNUMBER(T194),T194&gt;0),R194/T194,"")</f>
        <v/>
      </c>
      <c r="W194" s="23">
        <f>IF(AND(ISNUMBER(S194),S194&gt;0),R194/S194,"")</f>
        <v/>
      </c>
      <c r="X194" s="24">
        <f>IF(AND(ISNUMBER(S194),S194&gt;0,ISNUMBER(T194)),T194/S194,"")</f>
        <v/>
      </c>
      <c r="Y194" s="8">
        <f>IF(A194="","",IF(N(R194)&lt;Settings!$B$4*Settings!$B$6,"Testing",IF(N(T194)=0,"Kill",IF(V194&lt;=Settings!$B$4,"Winner",IF(V194&lt;=Settings!$B$4*Settings!$B$5,"Watch","Kill")))))</f>
        <v/>
      </c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5" t="n"/>
      <c r="S195" s="2" t="n"/>
      <c r="T195" s="2" t="n"/>
      <c r="U195" s="10" t="n"/>
      <c r="V195" s="23">
        <f>IF(AND(ISNUMBER(T195),T195&gt;0),R195/T195,"")</f>
        <v/>
      </c>
      <c r="W195" s="23">
        <f>IF(AND(ISNUMBER(S195),S195&gt;0),R195/S195,"")</f>
        <v/>
      </c>
      <c r="X195" s="24">
        <f>IF(AND(ISNUMBER(S195),S195&gt;0,ISNUMBER(T195)),T195/S195,"")</f>
        <v/>
      </c>
      <c r="Y195" s="8">
        <f>IF(A195="","",IF(N(R195)&lt;Settings!$B$4*Settings!$B$6,"Testing",IF(N(T195)=0,"Kill",IF(V195&lt;=Settings!$B$4,"Winner",IF(V195&lt;=Settings!$B$4*Settings!$B$5,"Watch","Kill")))))</f>
        <v/>
      </c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5" t="n"/>
      <c r="S196" s="2" t="n"/>
      <c r="T196" s="2" t="n"/>
      <c r="U196" s="10" t="n"/>
      <c r="V196" s="23">
        <f>IF(AND(ISNUMBER(T196),T196&gt;0),R196/T196,"")</f>
        <v/>
      </c>
      <c r="W196" s="23">
        <f>IF(AND(ISNUMBER(S196),S196&gt;0),R196/S196,"")</f>
        <v/>
      </c>
      <c r="X196" s="24">
        <f>IF(AND(ISNUMBER(S196),S196&gt;0,ISNUMBER(T196)),T196/S196,"")</f>
        <v/>
      </c>
      <c r="Y196" s="8">
        <f>IF(A196="","",IF(N(R196)&lt;Settings!$B$4*Settings!$B$6,"Testing",IF(N(T196)=0,"Kill",IF(V196&lt;=Settings!$B$4,"Winner",IF(V196&lt;=Settings!$B$4*Settings!$B$5,"Watch","Kill")))))</f>
        <v/>
      </c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5" t="n"/>
      <c r="S197" s="2" t="n"/>
      <c r="T197" s="2" t="n"/>
      <c r="U197" s="10" t="n"/>
      <c r="V197" s="23">
        <f>IF(AND(ISNUMBER(T197),T197&gt;0),R197/T197,"")</f>
        <v/>
      </c>
      <c r="W197" s="23">
        <f>IF(AND(ISNUMBER(S197),S197&gt;0),R197/S197,"")</f>
        <v/>
      </c>
      <c r="X197" s="24">
        <f>IF(AND(ISNUMBER(S197),S197&gt;0,ISNUMBER(T197)),T197/S197,"")</f>
        <v/>
      </c>
      <c r="Y197" s="8">
        <f>IF(A197="","",IF(N(R197)&lt;Settings!$B$4*Settings!$B$6,"Testing",IF(N(T197)=0,"Kill",IF(V197&lt;=Settings!$B$4,"Winner",IF(V197&lt;=Settings!$B$4*Settings!$B$5,"Watch","Kill")))))</f>
        <v/>
      </c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5" t="n"/>
      <c r="S198" s="2" t="n"/>
      <c r="T198" s="2" t="n"/>
      <c r="U198" s="10" t="n"/>
      <c r="V198" s="23">
        <f>IF(AND(ISNUMBER(T198),T198&gt;0),R198/T198,"")</f>
        <v/>
      </c>
      <c r="W198" s="23">
        <f>IF(AND(ISNUMBER(S198),S198&gt;0),R198/S198,"")</f>
        <v/>
      </c>
      <c r="X198" s="24">
        <f>IF(AND(ISNUMBER(S198),S198&gt;0,ISNUMBER(T198)),T198/S198,"")</f>
        <v/>
      </c>
      <c r="Y198" s="8">
        <f>IF(A198="","",IF(N(R198)&lt;Settings!$B$4*Settings!$B$6,"Testing",IF(N(T198)=0,"Kill",IF(V198&lt;=Settings!$B$4,"Winner",IF(V198&lt;=Settings!$B$4*Settings!$B$5,"Watch","Kill")))))</f>
        <v/>
      </c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5" t="n"/>
      <c r="S199" s="2" t="n"/>
      <c r="T199" s="2" t="n"/>
      <c r="U199" s="10" t="n"/>
      <c r="V199" s="23">
        <f>IF(AND(ISNUMBER(T199),T199&gt;0),R199/T199,"")</f>
        <v/>
      </c>
      <c r="W199" s="23">
        <f>IF(AND(ISNUMBER(S199),S199&gt;0),R199/S199,"")</f>
        <v/>
      </c>
      <c r="X199" s="24">
        <f>IF(AND(ISNUMBER(S199),S199&gt;0,ISNUMBER(T199)),T199/S199,"")</f>
        <v/>
      </c>
      <c r="Y199" s="8">
        <f>IF(A199="","",IF(N(R199)&lt;Settings!$B$4*Settings!$B$6,"Testing",IF(N(T199)=0,"Kill",IF(V199&lt;=Settings!$B$4,"Winner",IF(V199&lt;=Settings!$B$4*Settings!$B$5,"Watch","Kill")))))</f>
        <v/>
      </c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5" t="n"/>
      <c r="S200" s="2" t="n"/>
      <c r="T200" s="2" t="n"/>
      <c r="U200" s="10" t="n"/>
      <c r="V200" s="23">
        <f>IF(AND(ISNUMBER(T200),T200&gt;0),R200/T200,"")</f>
        <v/>
      </c>
      <c r="W200" s="23">
        <f>IF(AND(ISNUMBER(S200),S200&gt;0),R200/S200,"")</f>
        <v/>
      </c>
      <c r="X200" s="24">
        <f>IF(AND(ISNUMBER(S200),S200&gt;0,ISNUMBER(T200)),T200/S200,"")</f>
        <v/>
      </c>
      <c r="Y200" s="8">
        <f>IF(A200="","",IF(N(R200)&lt;Settings!$B$4*Settings!$B$6,"Testing",IF(N(T200)=0,"Kill",IF(V200&lt;=Settings!$B$4,"Winner",IF(V200&lt;=Settings!$B$4*Settings!$B$5,"Watch","Kill")))))</f>
        <v/>
      </c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5" t="n"/>
      <c r="S201" s="2" t="n"/>
      <c r="T201" s="2" t="n"/>
      <c r="U201" s="10" t="n"/>
      <c r="V201" s="23">
        <f>IF(AND(ISNUMBER(T201),T201&gt;0),R201/T201,"")</f>
        <v/>
      </c>
      <c r="W201" s="23">
        <f>IF(AND(ISNUMBER(S201),S201&gt;0),R201/S201,"")</f>
        <v/>
      </c>
      <c r="X201" s="24">
        <f>IF(AND(ISNUMBER(S201),S201&gt;0,ISNUMBER(T201)),T201/S201,"")</f>
        <v/>
      </c>
      <c r="Y201" s="8">
        <f>IF(A201="","",IF(N(R201)&lt;Settings!$B$4*Settings!$B$6,"Testing",IF(N(T201)=0,"Kill",IF(V201&lt;=Settings!$B$4,"Winner",IF(V201&lt;=Settings!$B$4*Settings!$B$5,"Watch","Kill")))))</f>
        <v/>
      </c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5" t="n"/>
      <c r="S202" s="2" t="n"/>
      <c r="T202" s="2" t="n"/>
      <c r="U202" s="10" t="n"/>
      <c r="V202" s="23">
        <f>IF(AND(ISNUMBER(T202),T202&gt;0),R202/T202,"")</f>
        <v/>
      </c>
      <c r="W202" s="23">
        <f>IF(AND(ISNUMBER(S202),S202&gt;0),R202/S202,"")</f>
        <v/>
      </c>
      <c r="X202" s="24">
        <f>IF(AND(ISNUMBER(S202),S202&gt;0,ISNUMBER(T202)),T202/S202,"")</f>
        <v/>
      </c>
      <c r="Y202" s="8">
        <f>IF(A202="","",IF(N(R202)&lt;Settings!$B$4*Settings!$B$6,"Testing",IF(N(T202)=0,"Kill",IF(V202&lt;=Settings!$B$4,"Winner",IF(V202&lt;=Settings!$B$4*Settings!$B$5,"Watch","Kill")))))</f>
        <v/>
      </c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5" t="n"/>
      <c r="S203" s="2" t="n"/>
      <c r="T203" s="2" t="n"/>
      <c r="U203" s="10" t="n"/>
      <c r="V203" s="23">
        <f>IF(AND(ISNUMBER(T203),T203&gt;0),R203/T203,"")</f>
        <v/>
      </c>
      <c r="W203" s="23">
        <f>IF(AND(ISNUMBER(S203),S203&gt;0),R203/S203,"")</f>
        <v/>
      </c>
      <c r="X203" s="24">
        <f>IF(AND(ISNUMBER(S203),S203&gt;0,ISNUMBER(T203)),T203/S203,"")</f>
        <v/>
      </c>
      <c r="Y203" s="8">
        <f>IF(A203="","",IF(N(R203)&lt;Settings!$B$4*Settings!$B$6,"Testing",IF(N(T203)=0,"Kill",IF(V203&lt;=Settings!$B$4,"Winner",IF(V203&lt;=Settings!$B$4*Settings!$B$5,"Watch","Kill")))))</f>
        <v/>
      </c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5" t="n"/>
      <c r="S204" s="2" t="n"/>
      <c r="T204" s="2" t="n"/>
      <c r="U204" s="10" t="n"/>
      <c r="V204" s="23">
        <f>IF(AND(ISNUMBER(T204),T204&gt;0),R204/T204,"")</f>
        <v/>
      </c>
      <c r="W204" s="23">
        <f>IF(AND(ISNUMBER(S204),S204&gt;0),R204/S204,"")</f>
        <v/>
      </c>
      <c r="X204" s="24">
        <f>IF(AND(ISNUMBER(S204),S204&gt;0,ISNUMBER(T204)),T204/S204,"")</f>
        <v/>
      </c>
      <c r="Y204" s="8">
        <f>IF(A204="","",IF(N(R204)&lt;Settings!$B$4*Settings!$B$6,"Testing",IF(N(T204)=0,"Kill",IF(V204&lt;=Settings!$B$4,"Winner",IF(V204&lt;=Settings!$B$4*Settings!$B$5,"Watch","Kill")))))</f>
        <v/>
      </c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5" t="n"/>
      <c r="S205" s="2" t="n"/>
      <c r="T205" s="2" t="n"/>
      <c r="U205" s="10" t="n"/>
      <c r="V205" s="23">
        <f>IF(AND(ISNUMBER(T205),T205&gt;0),R205/T205,"")</f>
        <v/>
      </c>
      <c r="W205" s="23">
        <f>IF(AND(ISNUMBER(S205),S205&gt;0),R205/S205,"")</f>
        <v/>
      </c>
      <c r="X205" s="24">
        <f>IF(AND(ISNUMBER(S205),S205&gt;0,ISNUMBER(T205)),T205/S205,"")</f>
        <v/>
      </c>
      <c r="Y205" s="8">
        <f>IF(A205="","",IF(N(R205)&lt;Settings!$B$4*Settings!$B$6,"Testing",IF(N(T205)=0,"Kill",IF(V205&lt;=Settings!$B$4,"Winner",IF(V205&lt;=Settings!$B$4*Settings!$B$5,"Watch","Kill")))))</f>
        <v/>
      </c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5" t="n"/>
      <c r="S206" s="2" t="n"/>
      <c r="T206" s="2" t="n"/>
      <c r="U206" s="10" t="n"/>
      <c r="V206" s="23">
        <f>IF(AND(ISNUMBER(T206),T206&gt;0),R206/T206,"")</f>
        <v/>
      </c>
      <c r="W206" s="23">
        <f>IF(AND(ISNUMBER(S206),S206&gt;0),R206/S206,"")</f>
        <v/>
      </c>
      <c r="X206" s="24">
        <f>IF(AND(ISNUMBER(S206),S206&gt;0,ISNUMBER(T206)),T206/S206,"")</f>
        <v/>
      </c>
      <c r="Y206" s="8">
        <f>IF(A206="","",IF(N(R206)&lt;Settings!$B$4*Settings!$B$6,"Testing",IF(N(T206)=0,"Kill",IF(V206&lt;=Settings!$B$4,"Winner",IF(V206&lt;=Settings!$B$4*Settings!$B$5,"Watch","Kill")))))</f>
        <v/>
      </c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5" t="n"/>
      <c r="S207" s="2" t="n"/>
      <c r="T207" s="2" t="n"/>
      <c r="U207" s="10" t="n"/>
      <c r="V207" s="23">
        <f>IF(AND(ISNUMBER(T207),T207&gt;0),R207/T207,"")</f>
        <v/>
      </c>
      <c r="W207" s="23">
        <f>IF(AND(ISNUMBER(S207),S207&gt;0),R207/S207,"")</f>
        <v/>
      </c>
      <c r="X207" s="24">
        <f>IF(AND(ISNUMBER(S207),S207&gt;0,ISNUMBER(T207)),T207/S207,"")</f>
        <v/>
      </c>
      <c r="Y207" s="8">
        <f>IF(A207="","",IF(N(R207)&lt;Settings!$B$4*Settings!$B$6,"Testing",IF(N(T207)=0,"Kill",IF(V207&lt;=Settings!$B$4,"Winner",IF(V207&lt;=Settings!$B$4*Settings!$B$5,"Watch","Kill")))))</f>
        <v/>
      </c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5" t="n"/>
      <c r="S208" s="2" t="n"/>
      <c r="T208" s="2" t="n"/>
      <c r="U208" s="10" t="n"/>
      <c r="V208" s="23">
        <f>IF(AND(ISNUMBER(T208),T208&gt;0),R208/T208,"")</f>
        <v/>
      </c>
      <c r="W208" s="23">
        <f>IF(AND(ISNUMBER(S208),S208&gt;0),R208/S208,"")</f>
        <v/>
      </c>
      <c r="X208" s="24">
        <f>IF(AND(ISNUMBER(S208),S208&gt;0,ISNUMBER(T208)),T208/S208,"")</f>
        <v/>
      </c>
      <c r="Y208" s="8">
        <f>IF(A208="","",IF(N(R208)&lt;Settings!$B$4*Settings!$B$6,"Testing",IF(N(T208)=0,"Kill",IF(V208&lt;=Settings!$B$4,"Winner",IF(V208&lt;=Settings!$B$4*Settings!$B$5,"Watch","Kill")))))</f>
        <v/>
      </c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5" t="n"/>
      <c r="S209" s="2" t="n"/>
      <c r="T209" s="2" t="n"/>
      <c r="U209" s="10" t="n"/>
      <c r="V209" s="23">
        <f>IF(AND(ISNUMBER(T209),T209&gt;0),R209/T209,"")</f>
        <v/>
      </c>
      <c r="W209" s="23">
        <f>IF(AND(ISNUMBER(S209),S209&gt;0),R209/S209,"")</f>
        <v/>
      </c>
      <c r="X209" s="24">
        <f>IF(AND(ISNUMBER(S209),S209&gt;0,ISNUMBER(T209)),T209/S209,"")</f>
        <v/>
      </c>
      <c r="Y209" s="8">
        <f>IF(A209="","",IF(N(R209)&lt;Settings!$B$4*Settings!$B$6,"Testing",IF(N(T209)=0,"Kill",IF(V209&lt;=Settings!$B$4,"Winner",IF(V209&lt;=Settings!$B$4*Settings!$B$5,"Watch","Kill")))))</f>
        <v/>
      </c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5" t="n"/>
      <c r="S210" s="2" t="n"/>
      <c r="T210" s="2" t="n"/>
      <c r="U210" s="10" t="n"/>
      <c r="V210" s="23">
        <f>IF(AND(ISNUMBER(T210),T210&gt;0),R210/T210,"")</f>
        <v/>
      </c>
      <c r="W210" s="23">
        <f>IF(AND(ISNUMBER(S210),S210&gt;0),R210/S210,"")</f>
        <v/>
      </c>
      <c r="X210" s="24">
        <f>IF(AND(ISNUMBER(S210),S210&gt;0,ISNUMBER(T210)),T210/S210,"")</f>
        <v/>
      </c>
      <c r="Y210" s="8">
        <f>IF(A210="","",IF(N(R210)&lt;Settings!$B$4*Settings!$B$6,"Testing",IF(N(T210)=0,"Kill",IF(V210&lt;=Settings!$B$4,"Winner",IF(V210&lt;=Settings!$B$4*Settings!$B$5,"Watch","Kill")))))</f>
        <v/>
      </c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5" t="n"/>
      <c r="S211" s="2" t="n"/>
      <c r="T211" s="2" t="n"/>
      <c r="U211" s="10" t="n"/>
      <c r="V211" s="23">
        <f>IF(AND(ISNUMBER(T211),T211&gt;0),R211/T211,"")</f>
        <v/>
      </c>
      <c r="W211" s="23">
        <f>IF(AND(ISNUMBER(S211),S211&gt;0),R211/S211,"")</f>
        <v/>
      </c>
      <c r="X211" s="24">
        <f>IF(AND(ISNUMBER(S211),S211&gt;0,ISNUMBER(T211)),T211/S211,"")</f>
        <v/>
      </c>
      <c r="Y211" s="8">
        <f>IF(A211="","",IF(N(R211)&lt;Settings!$B$4*Settings!$B$6,"Testing",IF(N(T211)=0,"Kill",IF(V211&lt;=Settings!$B$4,"Winner",IF(V211&lt;=Settings!$B$4*Settings!$B$5,"Watch","Kill")))))</f>
        <v/>
      </c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5" t="n"/>
      <c r="S212" s="2" t="n"/>
      <c r="T212" s="2" t="n"/>
      <c r="U212" s="10" t="n"/>
      <c r="V212" s="23">
        <f>IF(AND(ISNUMBER(T212),T212&gt;0),R212/T212,"")</f>
        <v/>
      </c>
      <c r="W212" s="23">
        <f>IF(AND(ISNUMBER(S212),S212&gt;0),R212/S212,"")</f>
        <v/>
      </c>
      <c r="X212" s="24">
        <f>IF(AND(ISNUMBER(S212),S212&gt;0,ISNUMBER(T212)),T212/S212,"")</f>
        <v/>
      </c>
      <c r="Y212" s="8">
        <f>IF(A212="","",IF(N(R212)&lt;Settings!$B$4*Settings!$B$6,"Testing",IF(N(T212)=0,"Kill",IF(V212&lt;=Settings!$B$4,"Winner",IF(V212&lt;=Settings!$B$4*Settings!$B$5,"Watch","Kill")))))</f>
        <v/>
      </c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5" t="n"/>
      <c r="S213" s="2" t="n"/>
      <c r="T213" s="2" t="n"/>
      <c r="U213" s="10" t="n"/>
      <c r="V213" s="23">
        <f>IF(AND(ISNUMBER(T213),T213&gt;0),R213/T213,"")</f>
        <v/>
      </c>
      <c r="W213" s="23">
        <f>IF(AND(ISNUMBER(S213),S213&gt;0),R213/S213,"")</f>
        <v/>
      </c>
      <c r="X213" s="24">
        <f>IF(AND(ISNUMBER(S213),S213&gt;0,ISNUMBER(T213)),T213/S213,"")</f>
        <v/>
      </c>
      <c r="Y213" s="8">
        <f>IF(A213="","",IF(N(R213)&lt;Settings!$B$4*Settings!$B$6,"Testing",IF(N(T213)=0,"Kill",IF(V213&lt;=Settings!$B$4,"Winner",IF(V213&lt;=Settings!$B$4*Settings!$B$5,"Watch","Kill")))))</f>
        <v/>
      </c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5" t="n"/>
      <c r="S214" s="2" t="n"/>
      <c r="T214" s="2" t="n"/>
      <c r="U214" s="10" t="n"/>
      <c r="V214" s="23">
        <f>IF(AND(ISNUMBER(T214),T214&gt;0),R214/T214,"")</f>
        <v/>
      </c>
      <c r="W214" s="23">
        <f>IF(AND(ISNUMBER(S214),S214&gt;0),R214/S214,"")</f>
        <v/>
      </c>
      <c r="X214" s="24">
        <f>IF(AND(ISNUMBER(S214),S214&gt;0,ISNUMBER(T214)),T214/S214,"")</f>
        <v/>
      </c>
      <c r="Y214" s="8">
        <f>IF(A214="","",IF(N(R214)&lt;Settings!$B$4*Settings!$B$6,"Testing",IF(N(T214)=0,"Kill",IF(V214&lt;=Settings!$B$4,"Winner",IF(V214&lt;=Settings!$B$4*Settings!$B$5,"Watch","Kill")))))</f>
        <v/>
      </c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5" t="n"/>
      <c r="S215" s="2" t="n"/>
      <c r="T215" s="2" t="n"/>
      <c r="U215" s="10" t="n"/>
      <c r="V215" s="23">
        <f>IF(AND(ISNUMBER(T215),T215&gt;0),R215/T215,"")</f>
        <v/>
      </c>
      <c r="W215" s="23">
        <f>IF(AND(ISNUMBER(S215),S215&gt;0),R215/S215,"")</f>
        <v/>
      </c>
      <c r="X215" s="24">
        <f>IF(AND(ISNUMBER(S215),S215&gt;0,ISNUMBER(T215)),T215/S215,"")</f>
        <v/>
      </c>
      <c r="Y215" s="8">
        <f>IF(A215="","",IF(N(R215)&lt;Settings!$B$4*Settings!$B$6,"Testing",IF(N(T215)=0,"Kill",IF(V215&lt;=Settings!$B$4,"Winner",IF(V215&lt;=Settings!$B$4*Settings!$B$5,"Watch","Kill")))))</f>
        <v/>
      </c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5" t="n"/>
      <c r="S216" s="2" t="n"/>
      <c r="T216" s="2" t="n"/>
      <c r="U216" s="10" t="n"/>
      <c r="V216" s="23">
        <f>IF(AND(ISNUMBER(T216),T216&gt;0),R216/T216,"")</f>
        <v/>
      </c>
      <c r="W216" s="23">
        <f>IF(AND(ISNUMBER(S216),S216&gt;0),R216/S216,"")</f>
        <v/>
      </c>
      <c r="X216" s="24">
        <f>IF(AND(ISNUMBER(S216),S216&gt;0,ISNUMBER(T216)),T216/S216,"")</f>
        <v/>
      </c>
      <c r="Y216" s="8">
        <f>IF(A216="","",IF(N(R216)&lt;Settings!$B$4*Settings!$B$6,"Testing",IF(N(T216)=0,"Kill",IF(V216&lt;=Settings!$B$4,"Winner",IF(V216&lt;=Settings!$B$4*Settings!$B$5,"Watch","Kill")))))</f>
        <v/>
      </c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5" t="n"/>
      <c r="S217" s="2" t="n"/>
      <c r="T217" s="2" t="n"/>
      <c r="U217" s="10" t="n"/>
      <c r="V217" s="23">
        <f>IF(AND(ISNUMBER(T217),T217&gt;0),R217/T217,"")</f>
        <v/>
      </c>
      <c r="W217" s="23">
        <f>IF(AND(ISNUMBER(S217),S217&gt;0),R217/S217,"")</f>
        <v/>
      </c>
      <c r="X217" s="24">
        <f>IF(AND(ISNUMBER(S217),S217&gt;0,ISNUMBER(T217)),T217/S217,"")</f>
        <v/>
      </c>
      <c r="Y217" s="8">
        <f>IF(A217="","",IF(N(R217)&lt;Settings!$B$4*Settings!$B$6,"Testing",IF(N(T217)=0,"Kill",IF(V217&lt;=Settings!$B$4,"Winner",IF(V217&lt;=Settings!$B$4*Settings!$B$5,"Watch","Kill")))))</f>
        <v/>
      </c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5" t="n"/>
      <c r="S218" s="2" t="n"/>
      <c r="T218" s="2" t="n"/>
      <c r="U218" s="10" t="n"/>
      <c r="V218" s="23">
        <f>IF(AND(ISNUMBER(T218),T218&gt;0),R218/T218,"")</f>
        <v/>
      </c>
      <c r="W218" s="23">
        <f>IF(AND(ISNUMBER(S218),S218&gt;0),R218/S218,"")</f>
        <v/>
      </c>
      <c r="X218" s="24">
        <f>IF(AND(ISNUMBER(S218),S218&gt;0,ISNUMBER(T218)),T218/S218,"")</f>
        <v/>
      </c>
      <c r="Y218" s="8">
        <f>IF(A218="","",IF(N(R218)&lt;Settings!$B$4*Settings!$B$6,"Testing",IF(N(T218)=0,"Kill",IF(V218&lt;=Settings!$B$4,"Winner",IF(V218&lt;=Settings!$B$4*Settings!$B$5,"Watch","Kill")))))</f>
        <v/>
      </c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5" t="n"/>
      <c r="S219" s="2" t="n"/>
      <c r="T219" s="2" t="n"/>
      <c r="U219" s="10" t="n"/>
      <c r="V219" s="23">
        <f>IF(AND(ISNUMBER(T219),T219&gt;0),R219/T219,"")</f>
        <v/>
      </c>
      <c r="W219" s="23">
        <f>IF(AND(ISNUMBER(S219),S219&gt;0),R219/S219,"")</f>
        <v/>
      </c>
      <c r="X219" s="24">
        <f>IF(AND(ISNUMBER(S219),S219&gt;0,ISNUMBER(T219)),T219/S219,"")</f>
        <v/>
      </c>
      <c r="Y219" s="8">
        <f>IF(A219="","",IF(N(R219)&lt;Settings!$B$4*Settings!$B$6,"Testing",IF(N(T219)=0,"Kill",IF(V219&lt;=Settings!$B$4,"Winner",IF(V219&lt;=Settings!$B$4*Settings!$B$5,"Watch","Kill")))))</f>
        <v/>
      </c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5" t="n"/>
      <c r="S220" s="2" t="n"/>
      <c r="T220" s="2" t="n"/>
      <c r="U220" s="10" t="n"/>
      <c r="V220" s="23">
        <f>IF(AND(ISNUMBER(T220),T220&gt;0),R220/T220,"")</f>
        <v/>
      </c>
      <c r="W220" s="23">
        <f>IF(AND(ISNUMBER(S220),S220&gt;0),R220/S220,"")</f>
        <v/>
      </c>
      <c r="X220" s="24">
        <f>IF(AND(ISNUMBER(S220),S220&gt;0,ISNUMBER(T220)),T220/S220,"")</f>
        <v/>
      </c>
      <c r="Y220" s="8">
        <f>IF(A220="","",IF(N(R220)&lt;Settings!$B$4*Settings!$B$6,"Testing",IF(N(T220)=0,"Kill",IF(V220&lt;=Settings!$B$4,"Winner",IF(V220&lt;=Settings!$B$4*Settings!$B$5,"Watch","Kill")))))</f>
        <v/>
      </c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5" t="n"/>
      <c r="S221" s="2" t="n"/>
      <c r="T221" s="2" t="n"/>
      <c r="U221" s="10" t="n"/>
      <c r="V221" s="23">
        <f>IF(AND(ISNUMBER(T221),T221&gt;0),R221/T221,"")</f>
        <v/>
      </c>
      <c r="W221" s="23">
        <f>IF(AND(ISNUMBER(S221),S221&gt;0),R221/S221,"")</f>
        <v/>
      </c>
      <c r="X221" s="24">
        <f>IF(AND(ISNUMBER(S221),S221&gt;0,ISNUMBER(T221)),T221/S221,"")</f>
        <v/>
      </c>
      <c r="Y221" s="8">
        <f>IF(A221="","",IF(N(R221)&lt;Settings!$B$4*Settings!$B$6,"Testing",IF(N(T221)=0,"Kill",IF(V221&lt;=Settings!$B$4,"Winner",IF(V221&lt;=Settings!$B$4*Settings!$B$5,"Watch","Kill")))))</f>
        <v/>
      </c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5" t="n"/>
      <c r="S222" s="2" t="n"/>
      <c r="T222" s="2" t="n"/>
      <c r="U222" s="10" t="n"/>
      <c r="V222" s="23">
        <f>IF(AND(ISNUMBER(T222),T222&gt;0),R222/T222,"")</f>
        <v/>
      </c>
      <c r="W222" s="23">
        <f>IF(AND(ISNUMBER(S222),S222&gt;0),R222/S222,"")</f>
        <v/>
      </c>
      <c r="X222" s="24">
        <f>IF(AND(ISNUMBER(S222),S222&gt;0,ISNUMBER(T222)),T222/S222,"")</f>
        <v/>
      </c>
      <c r="Y222" s="8">
        <f>IF(A222="","",IF(N(R222)&lt;Settings!$B$4*Settings!$B$6,"Testing",IF(N(T222)=0,"Kill",IF(V222&lt;=Settings!$B$4,"Winner",IF(V222&lt;=Settings!$B$4*Settings!$B$5,"Watch","Kill")))))</f>
        <v/>
      </c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5" t="n"/>
      <c r="S223" s="2" t="n"/>
      <c r="T223" s="2" t="n"/>
      <c r="U223" s="10" t="n"/>
      <c r="V223" s="23">
        <f>IF(AND(ISNUMBER(T223),T223&gt;0),R223/T223,"")</f>
        <v/>
      </c>
      <c r="W223" s="23">
        <f>IF(AND(ISNUMBER(S223),S223&gt;0),R223/S223,"")</f>
        <v/>
      </c>
      <c r="X223" s="24">
        <f>IF(AND(ISNUMBER(S223),S223&gt;0,ISNUMBER(T223)),T223/S223,"")</f>
        <v/>
      </c>
      <c r="Y223" s="8">
        <f>IF(A223="","",IF(N(R223)&lt;Settings!$B$4*Settings!$B$6,"Testing",IF(N(T223)=0,"Kill",IF(V223&lt;=Settings!$B$4,"Winner",IF(V223&lt;=Settings!$B$4*Settings!$B$5,"Watch","Kill")))))</f>
        <v/>
      </c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5" t="n"/>
      <c r="S224" s="2" t="n"/>
      <c r="T224" s="2" t="n"/>
      <c r="U224" s="10" t="n"/>
      <c r="V224" s="23">
        <f>IF(AND(ISNUMBER(T224),T224&gt;0),R224/T224,"")</f>
        <v/>
      </c>
      <c r="W224" s="23">
        <f>IF(AND(ISNUMBER(S224),S224&gt;0),R224/S224,"")</f>
        <v/>
      </c>
      <c r="X224" s="24">
        <f>IF(AND(ISNUMBER(S224),S224&gt;0,ISNUMBER(T224)),T224/S224,"")</f>
        <v/>
      </c>
      <c r="Y224" s="8">
        <f>IF(A224="","",IF(N(R224)&lt;Settings!$B$4*Settings!$B$6,"Testing",IF(N(T224)=0,"Kill",IF(V224&lt;=Settings!$B$4,"Winner",IF(V224&lt;=Settings!$B$4*Settings!$B$5,"Watch","Kill")))))</f>
        <v/>
      </c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5" t="n"/>
      <c r="S225" s="2" t="n"/>
      <c r="T225" s="2" t="n"/>
      <c r="U225" s="10" t="n"/>
      <c r="V225" s="23">
        <f>IF(AND(ISNUMBER(T225),T225&gt;0),R225/T225,"")</f>
        <v/>
      </c>
      <c r="W225" s="23">
        <f>IF(AND(ISNUMBER(S225),S225&gt;0),R225/S225,"")</f>
        <v/>
      </c>
      <c r="X225" s="24">
        <f>IF(AND(ISNUMBER(S225),S225&gt;0,ISNUMBER(T225)),T225/S225,"")</f>
        <v/>
      </c>
      <c r="Y225" s="8">
        <f>IF(A225="","",IF(N(R225)&lt;Settings!$B$4*Settings!$B$6,"Testing",IF(N(T225)=0,"Kill",IF(V225&lt;=Settings!$B$4,"Winner",IF(V225&lt;=Settings!$B$4*Settings!$B$5,"Watch","Kill")))))</f>
        <v/>
      </c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5" t="n"/>
      <c r="S226" s="2" t="n"/>
      <c r="T226" s="2" t="n"/>
      <c r="U226" s="10" t="n"/>
      <c r="V226" s="23">
        <f>IF(AND(ISNUMBER(T226),T226&gt;0),R226/T226,"")</f>
        <v/>
      </c>
      <c r="W226" s="23">
        <f>IF(AND(ISNUMBER(S226),S226&gt;0),R226/S226,"")</f>
        <v/>
      </c>
      <c r="X226" s="24">
        <f>IF(AND(ISNUMBER(S226),S226&gt;0,ISNUMBER(T226)),T226/S226,"")</f>
        <v/>
      </c>
      <c r="Y226" s="8">
        <f>IF(A226="","",IF(N(R226)&lt;Settings!$B$4*Settings!$B$6,"Testing",IF(N(T226)=0,"Kill",IF(V226&lt;=Settings!$B$4,"Winner",IF(V226&lt;=Settings!$B$4*Settings!$B$5,"Watch","Kill")))))</f>
        <v/>
      </c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5" t="n"/>
      <c r="S227" s="2" t="n"/>
      <c r="T227" s="2" t="n"/>
      <c r="U227" s="10" t="n"/>
      <c r="V227" s="23">
        <f>IF(AND(ISNUMBER(T227),T227&gt;0),R227/T227,"")</f>
        <v/>
      </c>
      <c r="W227" s="23">
        <f>IF(AND(ISNUMBER(S227),S227&gt;0),R227/S227,"")</f>
        <v/>
      </c>
      <c r="X227" s="24">
        <f>IF(AND(ISNUMBER(S227),S227&gt;0,ISNUMBER(T227)),T227/S227,"")</f>
        <v/>
      </c>
      <c r="Y227" s="8">
        <f>IF(A227="","",IF(N(R227)&lt;Settings!$B$4*Settings!$B$6,"Testing",IF(N(T227)=0,"Kill",IF(V227&lt;=Settings!$B$4,"Winner",IF(V227&lt;=Settings!$B$4*Settings!$B$5,"Watch","Kill")))))</f>
        <v/>
      </c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5" t="n"/>
      <c r="S228" s="2" t="n"/>
      <c r="T228" s="2" t="n"/>
      <c r="U228" s="10" t="n"/>
      <c r="V228" s="23">
        <f>IF(AND(ISNUMBER(T228),T228&gt;0),R228/T228,"")</f>
        <v/>
      </c>
      <c r="W228" s="23">
        <f>IF(AND(ISNUMBER(S228),S228&gt;0),R228/S228,"")</f>
        <v/>
      </c>
      <c r="X228" s="24">
        <f>IF(AND(ISNUMBER(S228),S228&gt;0,ISNUMBER(T228)),T228/S228,"")</f>
        <v/>
      </c>
      <c r="Y228" s="8">
        <f>IF(A228="","",IF(N(R228)&lt;Settings!$B$4*Settings!$B$6,"Testing",IF(N(T228)=0,"Kill",IF(V228&lt;=Settings!$B$4,"Winner",IF(V228&lt;=Settings!$B$4*Settings!$B$5,"Watch","Kill")))))</f>
        <v/>
      </c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5" t="n"/>
      <c r="S229" s="2" t="n"/>
      <c r="T229" s="2" t="n"/>
      <c r="U229" s="10" t="n"/>
      <c r="V229" s="23">
        <f>IF(AND(ISNUMBER(T229),T229&gt;0),R229/T229,"")</f>
        <v/>
      </c>
      <c r="W229" s="23">
        <f>IF(AND(ISNUMBER(S229),S229&gt;0),R229/S229,"")</f>
        <v/>
      </c>
      <c r="X229" s="24">
        <f>IF(AND(ISNUMBER(S229),S229&gt;0,ISNUMBER(T229)),T229/S229,"")</f>
        <v/>
      </c>
      <c r="Y229" s="8">
        <f>IF(A229="","",IF(N(R229)&lt;Settings!$B$4*Settings!$B$6,"Testing",IF(N(T229)=0,"Kill",IF(V229&lt;=Settings!$B$4,"Winner",IF(V229&lt;=Settings!$B$4*Settings!$B$5,"Watch","Kill")))))</f>
        <v/>
      </c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5" t="n"/>
      <c r="S230" s="2" t="n"/>
      <c r="T230" s="2" t="n"/>
      <c r="U230" s="10" t="n"/>
      <c r="V230" s="23">
        <f>IF(AND(ISNUMBER(T230),T230&gt;0),R230/T230,"")</f>
        <v/>
      </c>
      <c r="W230" s="23">
        <f>IF(AND(ISNUMBER(S230),S230&gt;0),R230/S230,"")</f>
        <v/>
      </c>
      <c r="X230" s="24">
        <f>IF(AND(ISNUMBER(S230),S230&gt;0,ISNUMBER(T230)),T230/S230,"")</f>
        <v/>
      </c>
      <c r="Y230" s="8">
        <f>IF(A230="","",IF(N(R230)&lt;Settings!$B$4*Settings!$B$6,"Testing",IF(N(T230)=0,"Kill",IF(V230&lt;=Settings!$B$4,"Winner",IF(V230&lt;=Settings!$B$4*Settings!$B$5,"Watch","Kill")))))</f>
        <v/>
      </c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5" t="n"/>
      <c r="S231" s="2" t="n"/>
      <c r="T231" s="2" t="n"/>
      <c r="U231" s="10" t="n"/>
      <c r="V231" s="23">
        <f>IF(AND(ISNUMBER(T231),T231&gt;0),R231/T231,"")</f>
        <v/>
      </c>
      <c r="W231" s="23">
        <f>IF(AND(ISNUMBER(S231),S231&gt;0),R231/S231,"")</f>
        <v/>
      </c>
      <c r="X231" s="24">
        <f>IF(AND(ISNUMBER(S231),S231&gt;0,ISNUMBER(T231)),T231/S231,"")</f>
        <v/>
      </c>
      <c r="Y231" s="8">
        <f>IF(A231="","",IF(N(R231)&lt;Settings!$B$4*Settings!$B$6,"Testing",IF(N(T231)=0,"Kill",IF(V231&lt;=Settings!$B$4,"Winner",IF(V231&lt;=Settings!$B$4*Settings!$B$5,"Watch","Kill")))))</f>
        <v/>
      </c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5" t="n"/>
      <c r="S232" s="2" t="n"/>
      <c r="T232" s="2" t="n"/>
      <c r="U232" s="10" t="n"/>
      <c r="V232" s="23">
        <f>IF(AND(ISNUMBER(T232),T232&gt;0),R232/T232,"")</f>
        <v/>
      </c>
      <c r="W232" s="23">
        <f>IF(AND(ISNUMBER(S232),S232&gt;0),R232/S232,"")</f>
        <v/>
      </c>
      <c r="X232" s="24">
        <f>IF(AND(ISNUMBER(S232),S232&gt;0,ISNUMBER(T232)),T232/S232,"")</f>
        <v/>
      </c>
      <c r="Y232" s="8">
        <f>IF(A232="","",IF(N(R232)&lt;Settings!$B$4*Settings!$B$6,"Testing",IF(N(T232)=0,"Kill",IF(V232&lt;=Settings!$B$4,"Winner",IF(V232&lt;=Settings!$B$4*Settings!$B$5,"Watch","Kill")))))</f>
        <v/>
      </c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5" t="n"/>
      <c r="S233" s="2" t="n"/>
      <c r="T233" s="2" t="n"/>
      <c r="U233" s="10" t="n"/>
      <c r="V233" s="23">
        <f>IF(AND(ISNUMBER(T233),T233&gt;0),R233/T233,"")</f>
        <v/>
      </c>
      <c r="W233" s="23">
        <f>IF(AND(ISNUMBER(S233),S233&gt;0),R233/S233,"")</f>
        <v/>
      </c>
      <c r="X233" s="24">
        <f>IF(AND(ISNUMBER(S233),S233&gt;0,ISNUMBER(T233)),T233/S233,"")</f>
        <v/>
      </c>
      <c r="Y233" s="8">
        <f>IF(A233="","",IF(N(R233)&lt;Settings!$B$4*Settings!$B$6,"Testing",IF(N(T233)=0,"Kill",IF(V233&lt;=Settings!$B$4,"Winner",IF(V233&lt;=Settings!$B$4*Settings!$B$5,"Watch","Kill")))))</f>
        <v/>
      </c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5" t="n"/>
      <c r="S234" s="2" t="n"/>
      <c r="T234" s="2" t="n"/>
      <c r="U234" s="10" t="n"/>
      <c r="V234" s="23">
        <f>IF(AND(ISNUMBER(T234),T234&gt;0),R234/T234,"")</f>
        <v/>
      </c>
      <c r="W234" s="23">
        <f>IF(AND(ISNUMBER(S234),S234&gt;0),R234/S234,"")</f>
        <v/>
      </c>
      <c r="X234" s="24">
        <f>IF(AND(ISNUMBER(S234),S234&gt;0,ISNUMBER(T234)),T234/S234,"")</f>
        <v/>
      </c>
      <c r="Y234" s="8">
        <f>IF(A234="","",IF(N(R234)&lt;Settings!$B$4*Settings!$B$6,"Testing",IF(N(T234)=0,"Kill",IF(V234&lt;=Settings!$B$4,"Winner",IF(V234&lt;=Settings!$B$4*Settings!$B$5,"Watch","Kill")))))</f>
        <v/>
      </c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5" t="n"/>
      <c r="S235" s="2" t="n"/>
      <c r="T235" s="2" t="n"/>
      <c r="U235" s="10" t="n"/>
      <c r="V235" s="23">
        <f>IF(AND(ISNUMBER(T235),T235&gt;0),R235/T235,"")</f>
        <v/>
      </c>
      <c r="W235" s="23">
        <f>IF(AND(ISNUMBER(S235),S235&gt;0),R235/S235,"")</f>
        <v/>
      </c>
      <c r="X235" s="24">
        <f>IF(AND(ISNUMBER(S235),S235&gt;0,ISNUMBER(T235)),T235/S235,"")</f>
        <v/>
      </c>
      <c r="Y235" s="8">
        <f>IF(A235="","",IF(N(R235)&lt;Settings!$B$4*Settings!$B$6,"Testing",IF(N(T235)=0,"Kill",IF(V235&lt;=Settings!$B$4,"Winner",IF(V235&lt;=Settings!$B$4*Settings!$B$5,"Watch","Kill")))))</f>
        <v/>
      </c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5" t="n"/>
      <c r="S236" s="2" t="n"/>
      <c r="T236" s="2" t="n"/>
      <c r="U236" s="10" t="n"/>
      <c r="V236" s="23">
        <f>IF(AND(ISNUMBER(T236),T236&gt;0),R236/T236,"")</f>
        <v/>
      </c>
      <c r="W236" s="23">
        <f>IF(AND(ISNUMBER(S236),S236&gt;0),R236/S236,"")</f>
        <v/>
      </c>
      <c r="X236" s="24">
        <f>IF(AND(ISNUMBER(S236),S236&gt;0,ISNUMBER(T236)),T236/S236,"")</f>
        <v/>
      </c>
      <c r="Y236" s="8">
        <f>IF(A236="","",IF(N(R236)&lt;Settings!$B$4*Settings!$B$6,"Testing",IF(N(T236)=0,"Kill",IF(V236&lt;=Settings!$B$4,"Winner",IF(V236&lt;=Settings!$B$4*Settings!$B$5,"Watch","Kill")))))</f>
        <v/>
      </c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5" t="n"/>
      <c r="S237" s="2" t="n"/>
      <c r="T237" s="2" t="n"/>
      <c r="U237" s="10" t="n"/>
      <c r="V237" s="23">
        <f>IF(AND(ISNUMBER(T237),T237&gt;0),R237/T237,"")</f>
        <v/>
      </c>
      <c r="W237" s="23">
        <f>IF(AND(ISNUMBER(S237),S237&gt;0),R237/S237,"")</f>
        <v/>
      </c>
      <c r="X237" s="24">
        <f>IF(AND(ISNUMBER(S237),S237&gt;0,ISNUMBER(T237)),T237/S237,"")</f>
        <v/>
      </c>
      <c r="Y237" s="8">
        <f>IF(A237="","",IF(N(R237)&lt;Settings!$B$4*Settings!$B$6,"Testing",IF(N(T237)=0,"Kill",IF(V237&lt;=Settings!$B$4,"Winner",IF(V237&lt;=Settings!$B$4*Settings!$B$5,"Watch","Kill")))))</f>
        <v/>
      </c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5" t="n"/>
      <c r="S238" s="2" t="n"/>
      <c r="T238" s="2" t="n"/>
      <c r="U238" s="10" t="n"/>
      <c r="V238" s="23">
        <f>IF(AND(ISNUMBER(T238),T238&gt;0),R238/T238,"")</f>
        <v/>
      </c>
      <c r="W238" s="23">
        <f>IF(AND(ISNUMBER(S238),S238&gt;0),R238/S238,"")</f>
        <v/>
      </c>
      <c r="X238" s="24">
        <f>IF(AND(ISNUMBER(S238),S238&gt;0,ISNUMBER(T238)),T238/S238,"")</f>
        <v/>
      </c>
      <c r="Y238" s="8">
        <f>IF(A238="","",IF(N(R238)&lt;Settings!$B$4*Settings!$B$6,"Testing",IF(N(T238)=0,"Kill",IF(V238&lt;=Settings!$B$4,"Winner",IF(V238&lt;=Settings!$B$4*Settings!$B$5,"Watch","Kill")))))</f>
        <v/>
      </c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5" t="n"/>
      <c r="S239" s="2" t="n"/>
      <c r="T239" s="2" t="n"/>
      <c r="U239" s="10" t="n"/>
      <c r="V239" s="23">
        <f>IF(AND(ISNUMBER(T239),T239&gt;0),R239/T239,"")</f>
        <v/>
      </c>
      <c r="W239" s="23">
        <f>IF(AND(ISNUMBER(S239),S239&gt;0),R239/S239,"")</f>
        <v/>
      </c>
      <c r="X239" s="24">
        <f>IF(AND(ISNUMBER(S239),S239&gt;0,ISNUMBER(T239)),T239/S239,"")</f>
        <v/>
      </c>
      <c r="Y239" s="8">
        <f>IF(A239="","",IF(N(R239)&lt;Settings!$B$4*Settings!$B$6,"Testing",IF(N(T239)=0,"Kill",IF(V239&lt;=Settings!$B$4,"Winner",IF(V239&lt;=Settings!$B$4*Settings!$B$5,"Watch","Kill")))))</f>
        <v/>
      </c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5" t="n"/>
      <c r="S240" s="2" t="n"/>
      <c r="T240" s="2" t="n"/>
      <c r="U240" s="10" t="n"/>
      <c r="V240" s="23">
        <f>IF(AND(ISNUMBER(T240),T240&gt;0),R240/T240,"")</f>
        <v/>
      </c>
      <c r="W240" s="23">
        <f>IF(AND(ISNUMBER(S240),S240&gt;0),R240/S240,"")</f>
        <v/>
      </c>
      <c r="X240" s="24">
        <f>IF(AND(ISNUMBER(S240),S240&gt;0,ISNUMBER(T240)),T240/S240,"")</f>
        <v/>
      </c>
      <c r="Y240" s="8">
        <f>IF(A240="","",IF(N(R240)&lt;Settings!$B$4*Settings!$B$6,"Testing",IF(N(T240)=0,"Kill",IF(V240&lt;=Settings!$B$4,"Winner",IF(V240&lt;=Settings!$B$4*Settings!$B$5,"Watch","Kill")))))</f>
        <v/>
      </c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5" t="n"/>
      <c r="S241" s="2" t="n"/>
      <c r="T241" s="2" t="n"/>
      <c r="U241" s="10" t="n"/>
      <c r="V241" s="23">
        <f>IF(AND(ISNUMBER(T241),T241&gt;0),R241/T241,"")</f>
        <v/>
      </c>
      <c r="W241" s="23">
        <f>IF(AND(ISNUMBER(S241),S241&gt;0),R241/S241,"")</f>
        <v/>
      </c>
      <c r="X241" s="24">
        <f>IF(AND(ISNUMBER(S241),S241&gt;0,ISNUMBER(T241)),T241/S241,"")</f>
        <v/>
      </c>
      <c r="Y241" s="8">
        <f>IF(A241="","",IF(N(R241)&lt;Settings!$B$4*Settings!$B$6,"Testing",IF(N(T241)=0,"Kill",IF(V241&lt;=Settings!$B$4,"Winner",IF(V241&lt;=Settings!$B$4*Settings!$B$5,"Watch","Kill")))))</f>
        <v/>
      </c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5" t="n"/>
      <c r="S242" s="2" t="n"/>
      <c r="T242" s="2" t="n"/>
      <c r="U242" s="10" t="n"/>
      <c r="V242" s="23">
        <f>IF(AND(ISNUMBER(T242),T242&gt;0),R242/T242,"")</f>
        <v/>
      </c>
      <c r="W242" s="23">
        <f>IF(AND(ISNUMBER(S242),S242&gt;0),R242/S242,"")</f>
        <v/>
      </c>
      <c r="X242" s="24">
        <f>IF(AND(ISNUMBER(S242),S242&gt;0,ISNUMBER(T242)),T242/S242,"")</f>
        <v/>
      </c>
      <c r="Y242" s="8">
        <f>IF(A242="","",IF(N(R242)&lt;Settings!$B$4*Settings!$B$6,"Testing",IF(N(T242)=0,"Kill",IF(V242&lt;=Settings!$B$4,"Winner",IF(V242&lt;=Settings!$B$4*Settings!$B$5,"Watch","Kill")))))</f>
        <v/>
      </c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5" t="n"/>
      <c r="S243" s="2" t="n"/>
      <c r="T243" s="2" t="n"/>
      <c r="U243" s="10" t="n"/>
      <c r="V243" s="23">
        <f>IF(AND(ISNUMBER(T243),T243&gt;0),R243/T243,"")</f>
        <v/>
      </c>
      <c r="W243" s="23">
        <f>IF(AND(ISNUMBER(S243),S243&gt;0),R243/S243,"")</f>
        <v/>
      </c>
      <c r="X243" s="24">
        <f>IF(AND(ISNUMBER(S243),S243&gt;0,ISNUMBER(T243)),T243/S243,"")</f>
        <v/>
      </c>
      <c r="Y243" s="8">
        <f>IF(A243="","",IF(N(R243)&lt;Settings!$B$4*Settings!$B$6,"Testing",IF(N(T243)=0,"Kill",IF(V243&lt;=Settings!$B$4,"Winner",IF(V243&lt;=Settings!$B$4*Settings!$B$5,"Watch","Kill")))))</f>
        <v/>
      </c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5" t="n"/>
      <c r="S244" s="2" t="n"/>
      <c r="T244" s="2" t="n"/>
      <c r="U244" s="10" t="n"/>
      <c r="V244" s="23">
        <f>IF(AND(ISNUMBER(T244),T244&gt;0),R244/T244,"")</f>
        <v/>
      </c>
      <c r="W244" s="23">
        <f>IF(AND(ISNUMBER(S244),S244&gt;0),R244/S244,"")</f>
        <v/>
      </c>
      <c r="X244" s="24">
        <f>IF(AND(ISNUMBER(S244),S244&gt;0,ISNUMBER(T244)),T244/S244,"")</f>
        <v/>
      </c>
      <c r="Y244" s="8">
        <f>IF(A244="","",IF(N(R244)&lt;Settings!$B$4*Settings!$B$6,"Testing",IF(N(T244)=0,"Kill",IF(V244&lt;=Settings!$B$4,"Winner",IF(V244&lt;=Settings!$B$4*Settings!$B$5,"Watch","Kill")))))</f>
        <v/>
      </c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5" t="n"/>
      <c r="S245" s="2" t="n"/>
      <c r="T245" s="2" t="n"/>
      <c r="U245" s="10" t="n"/>
      <c r="V245" s="23">
        <f>IF(AND(ISNUMBER(T245),T245&gt;0),R245/T245,"")</f>
        <v/>
      </c>
      <c r="W245" s="23">
        <f>IF(AND(ISNUMBER(S245),S245&gt;0),R245/S245,"")</f>
        <v/>
      </c>
      <c r="X245" s="24">
        <f>IF(AND(ISNUMBER(S245),S245&gt;0,ISNUMBER(T245)),T245/S245,"")</f>
        <v/>
      </c>
      <c r="Y245" s="8">
        <f>IF(A245="","",IF(N(R245)&lt;Settings!$B$4*Settings!$B$6,"Testing",IF(N(T245)=0,"Kill",IF(V245&lt;=Settings!$B$4,"Winner",IF(V245&lt;=Settings!$B$4*Settings!$B$5,"Watch","Kill")))))</f>
        <v/>
      </c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5" t="n"/>
      <c r="S246" s="2" t="n"/>
      <c r="T246" s="2" t="n"/>
      <c r="U246" s="10" t="n"/>
      <c r="V246" s="23">
        <f>IF(AND(ISNUMBER(T246),T246&gt;0),R246/T246,"")</f>
        <v/>
      </c>
      <c r="W246" s="23">
        <f>IF(AND(ISNUMBER(S246),S246&gt;0),R246/S246,"")</f>
        <v/>
      </c>
      <c r="X246" s="24">
        <f>IF(AND(ISNUMBER(S246),S246&gt;0,ISNUMBER(T246)),T246/S246,"")</f>
        <v/>
      </c>
      <c r="Y246" s="8">
        <f>IF(A246="","",IF(N(R246)&lt;Settings!$B$4*Settings!$B$6,"Testing",IF(N(T246)=0,"Kill",IF(V246&lt;=Settings!$B$4,"Winner",IF(V246&lt;=Settings!$B$4*Settings!$B$5,"Watch","Kill")))))</f>
        <v/>
      </c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5" t="n"/>
      <c r="S247" s="2" t="n"/>
      <c r="T247" s="2" t="n"/>
      <c r="U247" s="10" t="n"/>
      <c r="V247" s="23">
        <f>IF(AND(ISNUMBER(T247),T247&gt;0),R247/T247,"")</f>
        <v/>
      </c>
      <c r="W247" s="23">
        <f>IF(AND(ISNUMBER(S247),S247&gt;0),R247/S247,"")</f>
        <v/>
      </c>
      <c r="X247" s="24">
        <f>IF(AND(ISNUMBER(S247),S247&gt;0,ISNUMBER(T247)),T247/S247,"")</f>
        <v/>
      </c>
      <c r="Y247" s="8">
        <f>IF(A247="","",IF(N(R247)&lt;Settings!$B$4*Settings!$B$6,"Testing",IF(N(T247)=0,"Kill",IF(V247&lt;=Settings!$B$4,"Winner",IF(V247&lt;=Settings!$B$4*Settings!$B$5,"Watch","Kill")))))</f>
        <v/>
      </c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5" t="n"/>
      <c r="S248" s="2" t="n"/>
      <c r="T248" s="2" t="n"/>
      <c r="U248" s="10" t="n"/>
      <c r="V248" s="23">
        <f>IF(AND(ISNUMBER(T248),T248&gt;0),R248/T248,"")</f>
        <v/>
      </c>
      <c r="W248" s="23">
        <f>IF(AND(ISNUMBER(S248),S248&gt;0),R248/S248,"")</f>
        <v/>
      </c>
      <c r="X248" s="24">
        <f>IF(AND(ISNUMBER(S248),S248&gt;0,ISNUMBER(T248)),T248/S248,"")</f>
        <v/>
      </c>
      <c r="Y248" s="8">
        <f>IF(A248="","",IF(N(R248)&lt;Settings!$B$4*Settings!$B$6,"Testing",IF(N(T248)=0,"Kill",IF(V248&lt;=Settings!$B$4,"Winner",IF(V248&lt;=Settings!$B$4*Settings!$B$5,"Watch","Kill")))))</f>
        <v/>
      </c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5" t="n"/>
      <c r="S249" s="2" t="n"/>
      <c r="T249" s="2" t="n"/>
      <c r="U249" s="10" t="n"/>
      <c r="V249" s="23">
        <f>IF(AND(ISNUMBER(T249),T249&gt;0),R249/T249,"")</f>
        <v/>
      </c>
      <c r="W249" s="23">
        <f>IF(AND(ISNUMBER(S249),S249&gt;0),R249/S249,"")</f>
        <v/>
      </c>
      <c r="X249" s="24">
        <f>IF(AND(ISNUMBER(S249),S249&gt;0,ISNUMBER(T249)),T249/S249,"")</f>
        <v/>
      </c>
      <c r="Y249" s="8">
        <f>IF(A249="","",IF(N(R249)&lt;Settings!$B$4*Settings!$B$6,"Testing",IF(N(T249)=0,"Kill",IF(V249&lt;=Settings!$B$4,"Winner",IF(V249&lt;=Settings!$B$4*Settings!$B$5,"Watch","Kill")))))</f>
        <v/>
      </c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5" t="n"/>
      <c r="S250" s="2" t="n"/>
      <c r="T250" s="2" t="n"/>
      <c r="U250" s="10" t="n"/>
      <c r="V250" s="23">
        <f>IF(AND(ISNUMBER(T250),T250&gt;0),R250/T250,"")</f>
        <v/>
      </c>
      <c r="W250" s="23">
        <f>IF(AND(ISNUMBER(S250),S250&gt;0),R250/S250,"")</f>
        <v/>
      </c>
      <c r="X250" s="24">
        <f>IF(AND(ISNUMBER(S250),S250&gt;0,ISNUMBER(T250)),T250/S250,"")</f>
        <v/>
      </c>
      <c r="Y250" s="8">
        <f>IF(A250="","",IF(N(R250)&lt;Settings!$B$4*Settings!$B$6,"Testing",IF(N(T250)=0,"Kill",IF(V250&lt;=Settings!$B$4,"Winner",IF(V250&lt;=Settings!$B$4*Settings!$B$5,"Watch","Kill")))))</f>
        <v/>
      </c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5" t="n"/>
      <c r="S251" s="2" t="n"/>
      <c r="T251" s="2" t="n"/>
      <c r="U251" s="10" t="n"/>
      <c r="V251" s="23">
        <f>IF(AND(ISNUMBER(T251),T251&gt;0),R251/T251,"")</f>
        <v/>
      </c>
      <c r="W251" s="23">
        <f>IF(AND(ISNUMBER(S251),S251&gt;0),R251/S251,"")</f>
        <v/>
      </c>
      <c r="X251" s="24">
        <f>IF(AND(ISNUMBER(S251),S251&gt;0,ISNUMBER(T251)),T251/S251,"")</f>
        <v/>
      </c>
      <c r="Y251" s="8">
        <f>IF(A251="","",IF(N(R251)&lt;Settings!$B$4*Settings!$B$6,"Testing",IF(N(T251)=0,"Kill",IF(V251&lt;=Settings!$B$4,"Winner",IF(V251&lt;=Settings!$B$4*Settings!$B$5,"Watch","Kill")))))</f>
        <v/>
      </c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5" t="n"/>
      <c r="S252" s="2" t="n"/>
      <c r="T252" s="2" t="n"/>
      <c r="U252" s="10" t="n"/>
      <c r="V252" s="23">
        <f>IF(AND(ISNUMBER(T252),T252&gt;0),R252/T252,"")</f>
        <v/>
      </c>
      <c r="W252" s="23">
        <f>IF(AND(ISNUMBER(S252),S252&gt;0),R252/S252,"")</f>
        <v/>
      </c>
      <c r="X252" s="24">
        <f>IF(AND(ISNUMBER(S252),S252&gt;0,ISNUMBER(T252)),T252/S252,"")</f>
        <v/>
      </c>
      <c r="Y252" s="8">
        <f>IF(A252="","",IF(N(R252)&lt;Settings!$B$4*Settings!$B$6,"Testing",IF(N(T252)=0,"Kill",IF(V252&lt;=Settings!$B$4,"Winner",IF(V252&lt;=Settings!$B$4*Settings!$B$5,"Watch","Kill")))))</f>
        <v/>
      </c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5" t="n"/>
      <c r="S253" s="2" t="n"/>
      <c r="T253" s="2" t="n"/>
      <c r="U253" s="10" t="n"/>
      <c r="V253" s="23">
        <f>IF(AND(ISNUMBER(T253),T253&gt;0),R253/T253,"")</f>
        <v/>
      </c>
      <c r="W253" s="23">
        <f>IF(AND(ISNUMBER(S253),S253&gt;0),R253/S253,"")</f>
        <v/>
      </c>
      <c r="X253" s="24">
        <f>IF(AND(ISNUMBER(S253),S253&gt;0,ISNUMBER(T253)),T253/S253,"")</f>
        <v/>
      </c>
      <c r="Y253" s="8">
        <f>IF(A253="","",IF(N(R253)&lt;Settings!$B$4*Settings!$B$6,"Testing",IF(N(T253)=0,"Kill",IF(V253&lt;=Settings!$B$4,"Winner",IF(V253&lt;=Settings!$B$4*Settings!$B$5,"Watch","Kill")))))</f>
        <v/>
      </c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5" t="n"/>
      <c r="S254" s="2" t="n"/>
      <c r="T254" s="2" t="n"/>
      <c r="U254" s="10" t="n"/>
      <c r="V254" s="23">
        <f>IF(AND(ISNUMBER(T254),T254&gt;0),R254/T254,"")</f>
        <v/>
      </c>
      <c r="W254" s="23">
        <f>IF(AND(ISNUMBER(S254),S254&gt;0),R254/S254,"")</f>
        <v/>
      </c>
      <c r="X254" s="24">
        <f>IF(AND(ISNUMBER(S254),S254&gt;0,ISNUMBER(T254)),T254/S254,"")</f>
        <v/>
      </c>
      <c r="Y254" s="8">
        <f>IF(A254="","",IF(N(R254)&lt;Settings!$B$4*Settings!$B$6,"Testing",IF(N(T254)=0,"Kill",IF(V254&lt;=Settings!$B$4,"Winner",IF(V254&lt;=Settings!$B$4*Settings!$B$5,"Watch","Kill")))))</f>
        <v/>
      </c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5" t="n"/>
      <c r="S255" s="2" t="n"/>
      <c r="T255" s="2" t="n"/>
      <c r="U255" s="10" t="n"/>
      <c r="V255" s="23">
        <f>IF(AND(ISNUMBER(T255),T255&gt;0),R255/T255,"")</f>
        <v/>
      </c>
      <c r="W255" s="23">
        <f>IF(AND(ISNUMBER(S255),S255&gt;0),R255/S255,"")</f>
        <v/>
      </c>
      <c r="X255" s="24">
        <f>IF(AND(ISNUMBER(S255),S255&gt;0,ISNUMBER(T255)),T255/S255,"")</f>
        <v/>
      </c>
      <c r="Y255" s="8">
        <f>IF(A255="","",IF(N(R255)&lt;Settings!$B$4*Settings!$B$6,"Testing",IF(N(T255)=0,"Kill",IF(V255&lt;=Settings!$B$4,"Winner",IF(V255&lt;=Settings!$B$4*Settings!$B$5,"Watch","Kill")))))</f>
        <v/>
      </c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5" t="n"/>
      <c r="S256" s="2" t="n"/>
      <c r="T256" s="2" t="n"/>
      <c r="U256" s="10" t="n"/>
      <c r="V256" s="23">
        <f>IF(AND(ISNUMBER(T256),T256&gt;0),R256/T256,"")</f>
        <v/>
      </c>
      <c r="W256" s="23">
        <f>IF(AND(ISNUMBER(S256),S256&gt;0),R256/S256,"")</f>
        <v/>
      </c>
      <c r="X256" s="24">
        <f>IF(AND(ISNUMBER(S256),S256&gt;0,ISNUMBER(T256)),T256/S256,"")</f>
        <v/>
      </c>
      <c r="Y256" s="8">
        <f>IF(A256="","",IF(N(R256)&lt;Settings!$B$4*Settings!$B$6,"Testing",IF(N(T256)=0,"Kill",IF(V256&lt;=Settings!$B$4,"Winner",IF(V256&lt;=Settings!$B$4*Settings!$B$5,"Watch","Kill")))))</f>
        <v/>
      </c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5" t="n"/>
      <c r="S257" s="2" t="n"/>
      <c r="T257" s="2" t="n"/>
      <c r="U257" s="10" t="n"/>
      <c r="V257" s="23">
        <f>IF(AND(ISNUMBER(T257),T257&gt;0),R257/T257,"")</f>
        <v/>
      </c>
      <c r="W257" s="23">
        <f>IF(AND(ISNUMBER(S257),S257&gt;0),R257/S257,"")</f>
        <v/>
      </c>
      <c r="X257" s="24">
        <f>IF(AND(ISNUMBER(S257),S257&gt;0,ISNUMBER(T257)),T257/S257,"")</f>
        <v/>
      </c>
      <c r="Y257" s="8">
        <f>IF(A257="","",IF(N(R257)&lt;Settings!$B$4*Settings!$B$6,"Testing",IF(N(T257)=0,"Kill",IF(V257&lt;=Settings!$B$4,"Winner",IF(V257&lt;=Settings!$B$4*Settings!$B$5,"Watch","Kill")))))</f>
        <v/>
      </c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5" t="n"/>
      <c r="S258" s="2" t="n"/>
      <c r="T258" s="2" t="n"/>
      <c r="U258" s="10" t="n"/>
      <c r="V258" s="23">
        <f>IF(AND(ISNUMBER(T258),T258&gt;0),R258/T258,"")</f>
        <v/>
      </c>
      <c r="W258" s="23">
        <f>IF(AND(ISNUMBER(S258),S258&gt;0),R258/S258,"")</f>
        <v/>
      </c>
      <c r="X258" s="24">
        <f>IF(AND(ISNUMBER(S258),S258&gt;0,ISNUMBER(T258)),T258/S258,"")</f>
        <v/>
      </c>
      <c r="Y258" s="8">
        <f>IF(A258="","",IF(N(R258)&lt;Settings!$B$4*Settings!$B$6,"Testing",IF(N(T258)=0,"Kill",IF(V258&lt;=Settings!$B$4,"Winner",IF(V258&lt;=Settings!$B$4*Settings!$B$5,"Watch","Kill")))))</f>
        <v/>
      </c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5" t="n"/>
      <c r="S259" s="2" t="n"/>
      <c r="T259" s="2" t="n"/>
      <c r="U259" s="10" t="n"/>
      <c r="V259" s="23">
        <f>IF(AND(ISNUMBER(T259),T259&gt;0),R259/T259,"")</f>
        <v/>
      </c>
      <c r="W259" s="23">
        <f>IF(AND(ISNUMBER(S259),S259&gt;0),R259/S259,"")</f>
        <v/>
      </c>
      <c r="X259" s="24">
        <f>IF(AND(ISNUMBER(S259),S259&gt;0,ISNUMBER(T259)),T259/S259,"")</f>
        <v/>
      </c>
      <c r="Y259" s="8">
        <f>IF(A259="","",IF(N(R259)&lt;Settings!$B$4*Settings!$B$6,"Testing",IF(N(T259)=0,"Kill",IF(V259&lt;=Settings!$B$4,"Winner",IF(V259&lt;=Settings!$B$4*Settings!$B$5,"Watch","Kill")))))</f>
        <v/>
      </c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5" t="n"/>
      <c r="S260" s="2" t="n"/>
      <c r="T260" s="2" t="n"/>
      <c r="U260" s="10" t="n"/>
      <c r="V260" s="23">
        <f>IF(AND(ISNUMBER(T260),T260&gt;0),R260/T260,"")</f>
        <v/>
      </c>
      <c r="W260" s="23">
        <f>IF(AND(ISNUMBER(S260),S260&gt;0),R260/S260,"")</f>
        <v/>
      </c>
      <c r="X260" s="24">
        <f>IF(AND(ISNUMBER(S260),S260&gt;0,ISNUMBER(T260)),T260/S260,"")</f>
        <v/>
      </c>
      <c r="Y260" s="8">
        <f>IF(A260="","",IF(N(R260)&lt;Settings!$B$4*Settings!$B$6,"Testing",IF(N(T260)=0,"Kill",IF(V260&lt;=Settings!$B$4,"Winner",IF(V260&lt;=Settings!$B$4*Settings!$B$5,"Watch","Kill")))))</f>
        <v/>
      </c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5" t="n"/>
      <c r="S261" s="2" t="n"/>
      <c r="T261" s="2" t="n"/>
      <c r="U261" s="10" t="n"/>
      <c r="V261" s="23">
        <f>IF(AND(ISNUMBER(T261),T261&gt;0),R261/T261,"")</f>
        <v/>
      </c>
      <c r="W261" s="23">
        <f>IF(AND(ISNUMBER(S261),S261&gt;0),R261/S261,"")</f>
        <v/>
      </c>
      <c r="X261" s="24">
        <f>IF(AND(ISNUMBER(S261),S261&gt;0,ISNUMBER(T261)),T261/S261,"")</f>
        <v/>
      </c>
      <c r="Y261" s="8">
        <f>IF(A261="","",IF(N(R261)&lt;Settings!$B$4*Settings!$B$6,"Testing",IF(N(T261)=0,"Kill",IF(V261&lt;=Settings!$B$4,"Winner",IF(V261&lt;=Settings!$B$4*Settings!$B$5,"Watch","Kill")))))</f>
        <v/>
      </c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5" t="n"/>
      <c r="S262" s="2" t="n"/>
      <c r="T262" s="2" t="n"/>
      <c r="U262" s="10" t="n"/>
      <c r="V262" s="23">
        <f>IF(AND(ISNUMBER(T262),T262&gt;0),R262/T262,"")</f>
        <v/>
      </c>
      <c r="W262" s="23">
        <f>IF(AND(ISNUMBER(S262),S262&gt;0),R262/S262,"")</f>
        <v/>
      </c>
      <c r="X262" s="24">
        <f>IF(AND(ISNUMBER(S262),S262&gt;0,ISNUMBER(T262)),T262/S262,"")</f>
        <v/>
      </c>
      <c r="Y262" s="8">
        <f>IF(A262="","",IF(N(R262)&lt;Settings!$B$4*Settings!$B$6,"Testing",IF(N(T262)=0,"Kill",IF(V262&lt;=Settings!$B$4,"Winner",IF(V262&lt;=Settings!$B$4*Settings!$B$5,"Watch","Kill")))))</f>
        <v/>
      </c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5" t="n"/>
      <c r="S263" s="2" t="n"/>
      <c r="T263" s="2" t="n"/>
      <c r="U263" s="10" t="n"/>
      <c r="V263" s="23">
        <f>IF(AND(ISNUMBER(T263),T263&gt;0),R263/T263,"")</f>
        <v/>
      </c>
      <c r="W263" s="23">
        <f>IF(AND(ISNUMBER(S263),S263&gt;0),R263/S263,"")</f>
        <v/>
      </c>
      <c r="X263" s="24">
        <f>IF(AND(ISNUMBER(S263),S263&gt;0,ISNUMBER(T263)),T263/S263,"")</f>
        <v/>
      </c>
      <c r="Y263" s="8">
        <f>IF(A263="","",IF(N(R263)&lt;Settings!$B$4*Settings!$B$6,"Testing",IF(N(T263)=0,"Kill",IF(V263&lt;=Settings!$B$4,"Winner",IF(V263&lt;=Settings!$B$4*Settings!$B$5,"Watch","Kill")))))</f>
        <v/>
      </c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5" t="n"/>
      <c r="S264" s="2" t="n"/>
      <c r="T264" s="2" t="n"/>
      <c r="U264" s="10" t="n"/>
      <c r="V264" s="23">
        <f>IF(AND(ISNUMBER(T264),T264&gt;0),R264/T264,"")</f>
        <v/>
      </c>
      <c r="W264" s="23">
        <f>IF(AND(ISNUMBER(S264),S264&gt;0),R264/S264,"")</f>
        <v/>
      </c>
      <c r="X264" s="24">
        <f>IF(AND(ISNUMBER(S264),S264&gt;0,ISNUMBER(T264)),T264/S264,"")</f>
        <v/>
      </c>
      <c r="Y264" s="8">
        <f>IF(A264="","",IF(N(R264)&lt;Settings!$B$4*Settings!$B$6,"Testing",IF(N(T264)=0,"Kill",IF(V264&lt;=Settings!$B$4,"Winner",IF(V264&lt;=Settings!$B$4*Settings!$B$5,"Watch","Kill")))))</f>
        <v/>
      </c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5" t="n"/>
      <c r="S265" s="2" t="n"/>
      <c r="T265" s="2" t="n"/>
      <c r="U265" s="10" t="n"/>
      <c r="V265" s="23">
        <f>IF(AND(ISNUMBER(T265),T265&gt;0),R265/T265,"")</f>
        <v/>
      </c>
      <c r="W265" s="23">
        <f>IF(AND(ISNUMBER(S265),S265&gt;0),R265/S265,"")</f>
        <v/>
      </c>
      <c r="X265" s="24">
        <f>IF(AND(ISNUMBER(S265),S265&gt;0,ISNUMBER(T265)),T265/S265,"")</f>
        <v/>
      </c>
      <c r="Y265" s="8">
        <f>IF(A265="","",IF(N(R265)&lt;Settings!$B$4*Settings!$B$6,"Testing",IF(N(T265)=0,"Kill",IF(V265&lt;=Settings!$B$4,"Winner",IF(V265&lt;=Settings!$B$4*Settings!$B$5,"Watch","Kill")))))</f>
        <v/>
      </c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5" t="n"/>
      <c r="S266" s="2" t="n"/>
      <c r="T266" s="2" t="n"/>
      <c r="U266" s="10" t="n"/>
      <c r="V266" s="23">
        <f>IF(AND(ISNUMBER(T266),T266&gt;0),R266/T266,"")</f>
        <v/>
      </c>
      <c r="W266" s="23">
        <f>IF(AND(ISNUMBER(S266),S266&gt;0),R266/S266,"")</f>
        <v/>
      </c>
      <c r="X266" s="24">
        <f>IF(AND(ISNUMBER(S266),S266&gt;0,ISNUMBER(T266)),T266/S266,"")</f>
        <v/>
      </c>
      <c r="Y266" s="8">
        <f>IF(A266="","",IF(N(R266)&lt;Settings!$B$4*Settings!$B$6,"Testing",IF(N(T266)=0,"Kill",IF(V266&lt;=Settings!$B$4,"Winner",IF(V266&lt;=Settings!$B$4*Settings!$B$5,"Watch","Kill")))))</f>
        <v/>
      </c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5" t="n"/>
      <c r="S267" s="2" t="n"/>
      <c r="T267" s="2" t="n"/>
      <c r="U267" s="10" t="n"/>
      <c r="V267" s="23">
        <f>IF(AND(ISNUMBER(T267),T267&gt;0),R267/T267,"")</f>
        <v/>
      </c>
      <c r="W267" s="23">
        <f>IF(AND(ISNUMBER(S267),S267&gt;0),R267/S267,"")</f>
        <v/>
      </c>
      <c r="X267" s="24">
        <f>IF(AND(ISNUMBER(S267),S267&gt;0,ISNUMBER(T267)),T267/S267,"")</f>
        <v/>
      </c>
      <c r="Y267" s="8">
        <f>IF(A267="","",IF(N(R267)&lt;Settings!$B$4*Settings!$B$6,"Testing",IF(N(T267)=0,"Kill",IF(V267&lt;=Settings!$B$4,"Winner",IF(V267&lt;=Settings!$B$4*Settings!$B$5,"Watch","Kill")))))</f>
        <v/>
      </c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5" t="n"/>
      <c r="S268" s="2" t="n"/>
      <c r="T268" s="2" t="n"/>
      <c r="U268" s="10" t="n"/>
      <c r="V268" s="23">
        <f>IF(AND(ISNUMBER(T268),T268&gt;0),R268/T268,"")</f>
        <v/>
      </c>
      <c r="W268" s="23">
        <f>IF(AND(ISNUMBER(S268),S268&gt;0),R268/S268,"")</f>
        <v/>
      </c>
      <c r="X268" s="24">
        <f>IF(AND(ISNUMBER(S268),S268&gt;0,ISNUMBER(T268)),T268/S268,"")</f>
        <v/>
      </c>
      <c r="Y268" s="8">
        <f>IF(A268="","",IF(N(R268)&lt;Settings!$B$4*Settings!$B$6,"Testing",IF(N(T268)=0,"Kill",IF(V268&lt;=Settings!$B$4,"Winner",IF(V268&lt;=Settings!$B$4*Settings!$B$5,"Watch","Kill")))))</f>
        <v/>
      </c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5" t="n"/>
      <c r="S269" s="2" t="n"/>
      <c r="T269" s="2" t="n"/>
      <c r="U269" s="10" t="n"/>
      <c r="V269" s="23">
        <f>IF(AND(ISNUMBER(T269),T269&gt;0),R269/T269,"")</f>
        <v/>
      </c>
      <c r="W269" s="23">
        <f>IF(AND(ISNUMBER(S269),S269&gt;0),R269/S269,"")</f>
        <v/>
      </c>
      <c r="X269" s="24">
        <f>IF(AND(ISNUMBER(S269),S269&gt;0,ISNUMBER(T269)),T269/S269,"")</f>
        <v/>
      </c>
      <c r="Y269" s="8">
        <f>IF(A269="","",IF(N(R269)&lt;Settings!$B$4*Settings!$B$6,"Testing",IF(N(T269)=0,"Kill",IF(V269&lt;=Settings!$B$4,"Winner",IF(V269&lt;=Settings!$B$4*Settings!$B$5,"Watch","Kill")))))</f>
        <v/>
      </c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5" t="n"/>
      <c r="S270" s="2" t="n"/>
      <c r="T270" s="2" t="n"/>
      <c r="U270" s="10" t="n"/>
      <c r="V270" s="23">
        <f>IF(AND(ISNUMBER(T270),T270&gt;0),R270/T270,"")</f>
        <v/>
      </c>
      <c r="W270" s="23">
        <f>IF(AND(ISNUMBER(S270),S270&gt;0),R270/S270,"")</f>
        <v/>
      </c>
      <c r="X270" s="24">
        <f>IF(AND(ISNUMBER(S270),S270&gt;0,ISNUMBER(T270)),T270/S270,"")</f>
        <v/>
      </c>
      <c r="Y270" s="8">
        <f>IF(A270="","",IF(N(R270)&lt;Settings!$B$4*Settings!$B$6,"Testing",IF(N(T270)=0,"Kill",IF(V270&lt;=Settings!$B$4,"Winner",IF(V270&lt;=Settings!$B$4*Settings!$B$5,"Watch","Kill")))))</f>
        <v/>
      </c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5" t="n"/>
      <c r="S271" s="2" t="n"/>
      <c r="T271" s="2" t="n"/>
      <c r="U271" s="10" t="n"/>
      <c r="V271" s="23">
        <f>IF(AND(ISNUMBER(T271),T271&gt;0),R271/T271,"")</f>
        <v/>
      </c>
      <c r="W271" s="23">
        <f>IF(AND(ISNUMBER(S271),S271&gt;0),R271/S271,"")</f>
        <v/>
      </c>
      <c r="X271" s="24">
        <f>IF(AND(ISNUMBER(S271),S271&gt;0,ISNUMBER(T271)),T271/S271,"")</f>
        <v/>
      </c>
      <c r="Y271" s="8">
        <f>IF(A271="","",IF(N(R271)&lt;Settings!$B$4*Settings!$B$6,"Testing",IF(N(T271)=0,"Kill",IF(V271&lt;=Settings!$B$4,"Winner",IF(V271&lt;=Settings!$B$4*Settings!$B$5,"Watch","Kill")))))</f>
        <v/>
      </c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5" t="n"/>
      <c r="S272" s="2" t="n"/>
      <c r="T272" s="2" t="n"/>
      <c r="U272" s="10" t="n"/>
      <c r="V272" s="23">
        <f>IF(AND(ISNUMBER(T272),T272&gt;0),R272/T272,"")</f>
        <v/>
      </c>
      <c r="W272" s="23">
        <f>IF(AND(ISNUMBER(S272),S272&gt;0),R272/S272,"")</f>
        <v/>
      </c>
      <c r="X272" s="24">
        <f>IF(AND(ISNUMBER(S272),S272&gt;0,ISNUMBER(T272)),T272/S272,"")</f>
        <v/>
      </c>
      <c r="Y272" s="8">
        <f>IF(A272="","",IF(N(R272)&lt;Settings!$B$4*Settings!$B$6,"Testing",IF(N(T272)=0,"Kill",IF(V272&lt;=Settings!$B$4,"Winner",IF(V272&lt;=Settings!$B$4*Settings!$B$5,"Watch","Kill")))))</f>
        <v/>
      </c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5" t="n"/>
      <c r="S273" s="2" t="n"/>
      <c r="T273" s="2" t="n"/>
      <c r="U273" s="10" t="n"/>
      <c r="V273" s="23">
        <f>IF(AND(ISNUMBER(T273),T273&gt;0),R273/T273,"")</f>
        <v/>
      </c>
      <c r="W273" s="23">
        <f>IF(AND(ISNUMBER(S273),S273&gt;0),R273/S273,"")</f>
        <v/>
      </c>
      <c r="X273" s="24">
        <f>IF(AND(ISNUMBER(S273),S273&gt;0,ISNUMBER(T273)),T273/S273,"")</f>
        <v/>
      </c>
      <c r="Y273" s="8">
        <f>IF(A273="","",IF(N(R273)&lt;Settings!$B$4*Settings!$B$6,"Testing",IF(N(T273)=0,"Kill",IF(V273&lt;=Settings!$B$4,"Winner",IF(V273&lt;=Settings!$B$4*Settings!$B$5,"Watch","Kill")))))</f>
        <v/>
      </c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5" t="n"/>
      <c r="S274" s="2" t="n"/>
      <c r="T274" s="2" t="n"/>
      <c r="U274" s="10" t="n"/>
      <c r="V274" s="23">
        <f>IF(AND(ISNUMBER(T274),T274&gt;0),R274/T274,"")</f>
        <v/>
      </c>
      <c r="W274" s="23">
        <f>IF(AND(ISNUMBER(S274),S274&gt;0),R274/S274,"")</f>
        <v/>
      </c>
      <c r="X274" s="24">
        <f>IF(AND(ISNUMBER(S274),S274&gt;0,ISNUMBER(T274)),T274/S274,"")</f>
        <v/>
      </c>
      <c r="Y274" s="8">
        <f>IF(A274="","",IF(N(R274)&lt;Settings!$B$4*Settings!$B$6,"Testing",IF(N(T274)=0,"Kill",IF(V274&lt;=Settings!$B$4,"Winner",IF(V274&lt;=Settings!$B$4*Settings!$B$5,"Watch","Kill")))))</f>
        <v/>
      </c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5" t="n"/>
      <c r="S275" s="2" t="n"/>
      <c r="T275" s="2" t="n"/>
      <c r="U275" s="10" t="n"/>
      <c r="V275" s="23">
        <f>IF(AND(ISNUMBER(T275),T275&gt;0),R275/T275,"")</f>
        <v/>
      </c>
      <c r="W275" s="23">
        <f>IF(AND(ISNUMBER(S275),S275&gt;0),R275/S275,"")</f>
        <v/>
      </c>
      <c r="X275" s="24">
        <f>IF(AND(ISNUMBER(S275),S275&gt;0,ISNUMBER(T275)),T275/S275,"")</f>
        <v/>
      </c>
      <c r="Y275" s="8">
        <f>IF(A275="","",IF(N(R275)&lt;Settings!$B$4*Settings!$B$6,"Testing",IF(N(T275)=0,"Kill",IF(V275&lt;=Settings!$B$4,"Winner",IF(V275&lt;=Settings!$B$4*Settings!$B$5,"Watch","Kill")))))</f>
        <v/>
      </c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5" t="n"/>
      <c r="S276" s="2" t="n"/>
      <c r="T276" s="2" t="n"/>
      <c r="U276" s="10" t="n"/>
      <c r="V276" s="23">
        <f>IF(AND(ISNUMBER(T276),T276&gt;0),R276/T276,"")</f>
        <v/>
      </c>
      <c r="W276" s="23">
        <f>IF(AND(ISNUMBER(S276),S276&gt;0),R276/S276,"")</f>
        <v/>
      </c>
      <c r="X276" s="24">
        <f>IF(AND(ISNUMBER(S276),S276&gt;0,ISNUMBER(T276)),T276/S276,"")</f>
        <v/>
      </c>
      <c r="Y276" s="8">
        <f>IF(A276="","",IF(N(R276)&lt;Settings!$B$4*Settings!$B$6,"Testing",IF(N(T276)=0,"Kill",IF(V276&lt;=Settings!$B$4,"Winner",IF(V276&lt;=Settings!$B$4*Settings!$B$5,"Watch","Kill")))))</f>
        <v/>
      </c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5" t="n"/>
      <c r="S277" s="2" t="n"/>
      <c r="T277" s="2" t="n"/>
      <c r="U277" s="10" t="n"/>
      <c r="V277" s="23">
        <f>IF(AND(ISNUMBER(T277),T277&gt;0),R277/T277,"")</f>
        <v/>
      </c>
      <c r="W277" s="23">
        <f>IF(AND(ISNUMBER(S277),S277&gt;0),R277/S277,"")</f>
        <v/>
      </c>
      <c r="X277" s="24">
        <f>IF(AND(ISNUMBER(S277),S277&gt;0,ISNUMBER(T277)),T277/S277,"")</f>
        <v/>
      </c>
      <c r="Y277" s="8">
        <f>IF(A277="","",IF(N(R277)&lt;Settings!$B$4*Settings!$B$6,"Testing",IF(N(T277)=0,"Kill",IF(V277&lt;=Settings!$B$4,"Winner",IF(V277&lt;=Settings!$B$4*Settings!$B$5,"Watch","Kill")))))</f>
        <v/>
      </c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5" t="n"/>
      <c r="S278" s="2" t="n"/>
      <c r="T278" s="2" t="n"/>
      <c r="U278" s="10" t="n"/>
      <c r="V278" s="23">
        <f>IF(AND(ISNUMBER(T278),T278&gt;0),R278/T278,"")</f>
        <v/>
      </c>
      <c r="W278" s="23">
        <f>IF(AND(ISNUMBER(S278),S278&gt;0),R278/S278,"")</f>
        <v/>
      </c>
      <c r="X278" s="24">
        <f>IF(AND(ISNUMBER(S278),S278&gt;0,ISNUMBER(T278)),T278/S278,"")</f>
        <v/>
      </c>
      <c r="Y278" s="8">
        <f>IF(A278="","",IF(N(R278)&lt;Settings!$B$4*Settings!$B$6,"Testing",IF(N(T278)=0,"Kill",IF(V278&lt;=Settings!$B$4,"Winner",IF(V278&lt;=Settings!$B$4*Settings!$B$5,"Watch","Kill")))))</f>
        <v/>
      </c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5" t="n"/>
      <c r="S279" s="2" t="n"/>
      <c r="T279" s="2" t="n"/>
      <c r="U279" s="10" t="n"/>
      <c r="V279" s="23">
        <f>IF(AND(ISNUMBER(T279),T279&gt;0),R279/T279,"")</f>
        <v/>
      </c>
      <c r="W279" s="23">
        <f>IF(AND(ISNUMBER(S279),S279&gt;0),R279/S279,"")</f>
        <v/>
      </c>
      <c r="X279" s="24">
        <f>IF(AND(ISNUMBER(S279),S279&gt;0,ISNUMBER(T279)),T279/S279,"")</f>
        <v/>
      </c>
      <c r="Y279" s="8">
        <f>IF(A279="","",IF(N(R279)&lt;Settings!$B$4*Settings!$B$6,"Testing",IF(N(T279)=0,"Kill",IF(V279&lt;=Settings!$B$4,"Winner",IF(V279&lt;=Settings!$B$4*Settings!$B$5,"Watch","Kill")))))</f>
        <v/>
      </c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5" t="n"/>
      <c r="S280" s="2" t="n"/>
      <c r="T280" s="2" t="n"/>
      <c r="U280" s="10" t="n"/>
      <c r="V280" s="23">
        <f>IF(AND(ISNUMBER(T280),T280&gt;0),R280/T280,"")</f>
        <v/>
      </c>
      <c r="W280" s="23">
        <f>IF(AND(ISNUMBER(S280),S280&gt;0),R280/S280,"")</f>
        <v/>
      </c>
      <c r="X280" s="24">
        <f>IF(AND(ISNUMBER(S280),S280&gt;0,ISNUMBER(T280)),T280/S280,"")</f>
        <v/>
      </c>
      <c r="Y280" s="8">
        <f>IF(A280="","",IF(N(R280)&lt;Settings!$B$4*Settings!$B$6,"Testing",IF(N(T280)=0,"Kill",IF(V280&lt;=Settings!$B$4,"Winner",IF(V280&lt;=Settings!$B$4*Settings!$B$5,"Watch","Kill")))))</f>
        <v/>
      </c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5" t="n"/>
      <c r="S281" s="2" t="n"/>
      <c r="T281" s="2" t="n"/>
      <c r="U281" s="10" t="n"/>
      <c r="V281" s="23">
        <f>IF(AND(ISNUMBER(T281),T281&gt;0),R281/T281,"")</f>
        <v/>
      </c>
      <c r="W281" s="23">
        <f>IF(AND(ISNUMBER(S281),S281&gt;0),R281/S281,"")</f>
        <v/>
      </c>
      <c r="X281" s="24">
        <f>IF(AND(ISNUMBER(S281),S281&gt;0,ISNUMBER(T281)),T281/S281,"")</f>
        <v/>
      </c>
      <c r="Y281" s="8">
        <f>IF(A281="","",IF(N(R281)&lt;Settings!$B$4*Settings!$B$6,"Testing",IF(N(T281)=0,"Kill",IF(V281&lt;=Settings!$B$4,"Winner",IF(V281&lt;=Settings!$B$4*Settings!$B$5,"Watch","Kill")))))</f>
        <v/>
      </c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5" t="n"/>
      <c r="S282" s="2" t="n"/>
      <c r="T282" s="2" t="n"/>
      <c r="U282" s="10" t="n"/>
      <c r="V282" s="23">
        <f>IF(AND(ISNUMBER(T282),T282&gt;0),R282/T282,"")</f>
        <v/>
      </c>
      <c r="W282" s="23">
        <f>IF(AND(ISNUMBER(S282),S282&gt;0),R282/S282,"")</f>
        <v/>
      </c>
      <c r="X282" s="24">
        <f>IF(AND(ISNUMBER(S282),S282&gt;0,ISNUMBER(T282)),T282/S282,"")</f>
        <v/>
      </c>
      <c r="Y282" s="8">
        <f>IF(A282="","",IF(N(R282)&lt;Settings!$B$4*Settings!$B$6,"Testing",IF(N(T282)=0,"Kill",IF(V282&lt;=Settings!$B$4,"Winner",IF(V282&lt;=Settings!$B$4*Settings!$B$5,"Watch","Kill")))))</f>
        <v/>
      </c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5" t="n"/>
      <c r="S283" s="2" t="n"/>
      <c r="T283" s="2" t="n"/>
      <c r="U283" s="10" t="n"/>
      <c r="V283" s="23">
        <f>IF(AND(ISNUMBER(T283),T283&gt;0),R283/T283,"")</f>
        <v/>
      </c>
      <c r="W283" s="23">
        <f>IF(AND(ISNUMBER(S283),S283&gt;0),R283/S283,"")</f>
        <v/>
      </c>
      <c r="X283" s="24">
        <f>IF(AND(ISNUMBER(S283),S283&gt;0,ISNUMBER(T283)),T283/S283,"")</f>
        <v/>
      </c>
      <c r="Y283" s="8">
        <f>IF(A283="","",IF(N(R283)&lt;Settings!$B$4*Settings!$B$6,"Testing",IF(N(T283)=0,"Kill",IF(V283&lt;=Settings!$B$4,"Winner",IF(V283&lt;=Settings!$B$4*Settings!$B$5,"Watch","Kill")))))</f>
        <v/>
      </c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5" t="n"/>
      <c r="S284" s="2" t="n"/>
      <c r="T284" s="2" t="n"/>
      <c r="U284" s="10" t="n"/>
      <c r="V284" s="23">
        <f>IF(AND(ISNUMBER(T284),T284&gt;0),R284/T284,"")</f>
        <v/>
      </c>
      <c r="W284" s="23">
        <f>IF(AND(ISNUMBER(S284),S284&gt;0),R284/S284,"")</f>
        <v/>
      </c>
      <c r="X284" s="24">
        <f>IF(AND(ISNUMBER(S284),S284&gt;0,ISNUMBER(T284)),T284/S284,"")</f>
        <v/>
      </c>
      <c r="Y284" s="8">
        <f>IF(A284="","",IF(N(R284)&lt;Settings!$B$4*Settings!$B$6,"Testing",IF(N(T284)=0,"Kill",IF(V284&lt;=Settings!$B$4,"Winner",IF(V284&lt;=Settings!$B$4*Settings!$B$5,"Watch","Kill")))))</f>
        <v/>
      </c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5" t="n"/>
      <c r="S285" s="2" t="n"/>
      <c r="T285" s="2" t="n"/>
      <c r="U285" s="10" t="n"/>
      <c r="V285" s="23">
        <f>IF(AND(ISNUMBER(T285),T285&gt;0),R285/T285,"")</f>
        <v/>
      </c>
      <c r="W285" s="23">
        <f>IF(AND(ISNUMBER(S285),S285&gt;0),R285/S285,"")</f>
        <v/>
      </c>
      <c r="X285" s="24">
        <f>IF(AND(ISNUMBER(S285),S285&gt;0,ISNUMBER(T285)),T285/S285,"")</f>
        <v/>
      </c>
      <c r="Y285" s="8">
        <f>IF(A285="","",IF(N(R285)&lt;Settings!$B$4*Settings!$B$6,"Testing",IF(N(T285)=0,"Kill",IF(V285&lt;=Settings!$B$4,"Winner",IF(V285&lt;=Settings!$B$4*Settings!$B$5,"Watch","Kill")))))</f>
        <v/>
      </c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5" t="n"/>
      <c r="S286" s="2" t="n"/>
      <c r="T286" s="2" t="n"/>
      <c r="U286" s="10" t="n"/>
      <c r="V286" s="23">
        <f>IF(AND(ISNUMBER(T286),T286&gt;0),R286/T286,"")</f>
        <v/>
      </c>
      <c r="W286" s="23">
        <f>IF(AND(ISNUMBER(S286),S286&gt;0),R286/S286,"")</f>
        <v/>
      </c>
      <c r="X286" s="24">
        <f>IF(AND(ISNUMBER(S286),S286&gt;0,ISNUMBER(T286)),T286/S286,"")</f>
        <v/>
      </c>
      <c r="Y286" s="8">
        <f>IF(A286="","",IF(N(R286)&lt;Settings!$B$4*Settings!$B$6,"Testing",IF(N(T286)=0,"Kill",IF(V286&lt;=Settings!$B$4,"Winner",IF(V286&lt;=Settings!$B$4*Settings!$B$5,"Watch","Kill")))))</f>
        <v/>
      </c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5" t="n"/>
      <c r="S287" s="2" t="n"/>
      <c r="T287" s="2" t="n"/>
      <c r="U287" s="10" t="n"/>
      <c r="V287" s="23">
        <f>IF(AND(ISNUMBER(T287),T287&gt;0),R287/T287,"")</f>
        <v/>
      </c>
      <c r="W287" s="23">
        <f>IF(AND(ISNUMBER(S287),S287&gt;0),R287/S287,"")</f>
        <v/>
      </c>
      <c r="X287" s="24">
        <f>IF(AND(ISNUMBER(S287),S287&gt;0,ISNUMBER(T287)),T287/S287,"")</f>
        <v/>
      </c>
      <c r="Y287" s="8">
        <f>IF(A287="","",IF(N(R287)&lt;Settings!$B$4*Settings!$B$6,"Testing",IF(N(T287)=0,"Kill",IF(V287&lt;=Settings!$B$4,"Winner",IF(V287&lt;=Settings!$B$4*Settings!$B$5,"Watch","Kill")))))</f>
        <v/>
      </c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5" t="n"/>
      <c r="S288" s="2" t="n"/>
      <c r="T288" s="2" t="n"/>
      <c r="U288" s="10" t="n"/>
      <c r="V288" s="23">
        <f>IF(AND(ISNUMBER(T288),T288&gt;0),R288/T288,"")</f>
        <v/>
      </c>
      <c r="W288" s="23">
        <f>IF(AND(ISNUMBER(S288),S288&gt;0),R288/S288,"")</f>
        <v/>
      </c>
      <c r="X288" s="24">
        <f>IF(AND(ISNUMBER(S288),S288&gt;0,ISNUMBER(T288)),T288/S288,"")</f>
        <v/>
      </c>
      <c r="Y288" s="8">
        <f>IF(A288="","",IF(N(R288)&lt;Settings!$B$4*Settings!$B$6,"Testing",IF(N(T288)=0,"Kill",IF(V288&lt;=Settings!$B$4,"Winner",IF(V288&lt;=Settings!$B$4*Settings!$B$5,"Watch","Kill")))))</f>
        <v/>
      </c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5" t="n"/>
      <c r="S289" s="2" t="n"/>
      <c r="T289" s="2" t="n"/>
      <c r="U289" s="10" t="n"/>
      <c r="V289" s="23">
        <f>IF(AND(ISNUMBER(T289),T289&gt;0),R289/T289,"")</f>
        <v/>
      </c>
      <c r="W289" s="23">
        <f>IF(AND(ISNUMBER(S289),S289&gt;0),R289/S289,"")</f>
        <v/>
      </c>
      <c r="X289" s="24">
        <f>IF(AND(ISNUMBER(S289),S289&gt;0,ISNUMBER(T289)),T289/S289,"")</f>
        <v/>
      </c>
      <c r="Y289" s="8">
        <f>IF(A289="","",IF(N(R289)&lt;Settings!$B$4*Settings!$B$6,"Testing",IF(N(T289)=0,"Kill",IF(V289&lt;=Settings!$B$4,"Winner",IF(V289&lt;=Settings!$B$4*Settings!$B$5,"Watch","Kill")))))</f>
        <v/>
      </c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5" t="n"/>
      <c r="S290" s="2" t="n"/>
      <c r="T290" s="2" t="n"/>
      <c r="U290" s="10" t="n"/>
      <c r="V290" s="23">
        <f>IF(AND(ISNUMBER(T290),T290&gt;0),R290/T290,"")</f>
        <v/>
      </c>
      <c r="W290" s="23">
        <f>IF(AND(ISNUMBER(S290),S290&gt;0),R290/S290,"")</f>
        <v/>
      </c>
      <c r="X290" s="24">
        <f>IF(AND(ISNUMBER(S290),S290&gt;0,ISNUMBER(T290)),T290/S290,"")</f>
        <v/>
      </c>
      <c r="Y290" s="8">
        <f>IF(A290="","",IF(N(R290)&lt;Settings!$B$4*Settings!$B$6,"Testing",IF(N(T290)=0,"Kill",IF(V290&lt;=Settings!$B$4,"Winner",IF(V290&lt;=Settings!$B$4*Settings!$B$5,"Watch","Kill")))))</f>
        <v/>
      </c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5" t="n"/>
      <c r="S291" s="2" t="n"/>
      <c r="T291" s="2" t="n"/>
      <c r="U291" s="10" t="n"/>
      <c r="V291" s="23">
        <f>IF(AND(ISNUMBER(T291),T291&gt;0),R291/T291,"")</f>
        <v/>
      </c>
      <c r="W291" s="23">
        <f>IF(AND(ISNUMBER(S291),S291&gt;0),R291/S291,"")</f>
        <v/>
      </c>
      <c r="X291" s="24">
        <f>IF(AND(ISNUMBER(S291),S291&gt;0,ISNUMBER(T291)),T291/S291,"")</f>
        <v/>
      </c>
      <c r="Y291" s="8">
        <f>IF(A291="","",IF(N(R291)&lt;Settings!$B$4*Settings!$B$6,"Testing",IF(N(T291)=0,"Kill",IF(V291&lt;=Settings!$B$4,"Winner",IF(V291&lt;=Settings!$B$4*Settings!$B$5,"Watch","Kill")))))</f>
        <v/>
      </c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5" t="n"/>
      <c r="S292" s="2" t="n"/>
      <c r="T292" s="2" t="n"/>
      <c r="U292" s="10" t="n"/>
      <c r="V292" s="23">
        <f>IF(AND(ISNUMBER(T292),T292&gt;0),R292/T292,"")</f>
        <v/>
      </c>
      <c r="W292" s="23">
        <f>IF(AND(ISNUMBER(S292),S292&gt;0),R292/S292,"")</f>
        <v/>
      </c>
      <c r="X292" s="24">
        <f>IF(AND(ISNUMBER(S292),S292&gt;0,ISNUMBER(T292)),T292/S292,"")</f>
        <v/>
      </c>
      <c r="Y292" s="8">
        <f>IF(A292="","",IF(N(R292)&lt;Settings!$B$4*Settings!$B$6,"Testing",IF(N(T292)=0,"Kill",IF(V292&lt;=Settings!$B$4,"Winner",IF(V292&lt;=Settings!$B$4*Settings!$B$5,"Watch","Kill")))))</f>
        <v/>
      </c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5" t="n"/>
      <c r="S293" s="2" t="n"/>
      <c r="T293" s="2" t="n"/>
      <c r="U293" s="10" t="n"/>
      <c r="V293" s="23">
        <f>IF(AND(ISNUMBER(T293),T293&gt;0),R293/T293,"")</f>
        <v/>
      </c>
      <c r="W293" s="23">
        <f>IF(AND(ISNUMBER(S293),S293&gt;0),R293/S293,"")</f>
        <v/>
      </c>
      <c r="X293" s="24">
        <f>IF(AND(ISNUMBER(S293),S293&gt;0,ISNUMBER(T293)),T293/S293,"")</f>
        <v/>
      </c>
      <c r="Y293" s="8">
        <f>IF(A293="","",IF(N(R293)&lt;Settings!$B$4*Settings!$B$6,"Testing",IF(N(T293)=0,"Kill",IF(V293&lt;=Settings!$B$4,"Winner",IF(V293&lt;=Settings!$B$4*Settings!$B$5,"Watch","Kill")))))</f>
        <v/>
      </c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5" t="n"/>
      <c r="S294" s="2" t="n"/>
      <c r="T294" s="2" t="n"/>
      <c r="U294" s="10" t="n"/>
      <c r="V294" s="23">
        <f>IF(AND(ISNUMBER(T294),T294&gt;0),R294/T294,"")</f>
        <v/>
      </c>
      <c r="W294" s="23">
        <f>IF(AND(ISNUMBER(S294),S294&gt;0),R294/S294,"")</f>
        <v/>
      </c>
      <c r="X294" s="24">
        <f>IF(AND(ISNUMBER(S294),S294&gt;0,ISNUMBER(T294)),T294/S294,"")</f>
        <v/>
      </c>
      <c r="Y294" s="8">
        <f>IF(A294="","",IF(N(R294)&lt;Settings!$B$4*Settings!$B$6,"Testing",IF(N(T294)=0,"Kill",IF(V294&lt;=Settings!$B$4,"Winner",IF(V294&lt;=Settings!$B$4*Settings!$B$5,"Watch","Kill")))))</f>
        <v/>
      </c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5" t="n"/>
      <c r="S295" s="2" t="n"/>
      <c r="T295" s="2" t="n"/>
      <c r="U295" s="10" t="n"/>
      <c r="V295" s="23">
        <f>IF(AND(ISNUMBER(T295),T295&gt;0),R295/T295,"")</f>
        <v/>
      </c>
      <c r="W295" s="23">
        <f>IF(AND(ISNUMBER(S295),S295&gt;0),R295/S295,"")</f>
        <v/>
      </c>
      <c r="X295" s="24">
        <f>IF(AND(ISNUMBER(S295),S295&gt;0,ISNUMBER(T295)),T295/S295,"")</f>
        <v/>
      </c>
      <c r="Y295" s="8">
        <f>IF(A295="","",IF(N(R295)&lt;Settings!$B$4*Settings!$B$6,"Testing",IF(N(T295)=0,"Kill",IF(V295&lt;=Settings!$B$4,"Winner",IF(V295&lt;=Settings!$B$4*Settings!$B$5,"Watch","Kill")))))</f>
        <v/>
      </c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5" t="n"/>
      <c r="S296" s="2" t="n"/>
      <c r="T296" s="2" t="n"/>
      <c r="U296" s="10" t="n"/>
      <c r="V296" s="23">
        <f>IF(AND(ISNUMBER(T296),T296&gt;0),R296/T296,"")</f>
        <v/>
      </c>
      <c r="W296" s="23">
        <f>IF(AND(ISNUMBER(S296),S296&gt;0),R296/S296,"")</f>
        <v/>
      </c>
      <c r="X296" s="24">
        <f>IF(AND(ISNUMBER(S296),S296&gt;0,ISNUMBER(T296)),T296/S296,"")</f>
        <v/>
      </c>
      <c r="Y296" s="8">
        <f>IF(A296="","",IF(N(R296)&lt;Settings!$B$4*Settings!$B$6,"Testing",IF(N(T296)=0,"Kill",IF(V296&lt;=Settings!$B$4,"Winner",IF(V296&lt;=Settings!$B$4*Settings!$B$5,"Watch","Kill")))))</f>
        <v/>
      </c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5" t="n"/>
      <c r="S297" s="2" t="n"/>
      <c r="T297" s="2" t="n"/>
      <c r="U297" s="10" t="n"/>
      <c r="V297" s="23">
        <f>IF(AND(ISNUMBER(T297),T297&gt;0),R297/T297,"")</f>
        <v/>
      </c>
      <c r="W297" s="23">
        <f>IF(AND(ISNUMBER(S297),S297&gt;0),R297/S297,"")</f>
        <v/>
      </c>
      <c r="X297" s="24">
        <f>IF(AND(ISNUMBER(S297),S297&gt;0,ISNUMBER(T297)),T297/S297,"")</f>
        <v/>
      </c>
      <c r="Y297" s="8">
        <f>IF(A297="","",IF(N(R297)&lt;Settings!$B$4*Settings!$B$6,"Testing",IF(N(T297)=0,"Kill",IF(V297&lt;=Settings!$B$4,"Winner",IF(V297&lt;=Settings!$B$4*Settings!$B$5,"Watch","Kill")))))</f>
        <v/>
      </c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5" t="n"/>
      <c r="S298" s="2" t="n"/>
      <c r="T298" s="2" t="n"/>
      <c r="U298" s="10" t="n"/>
      <c r="V298" s="23">
        <f>IF(AND(ISNUMBER(T298),T298&gt;0),R298/T298,"")</f>
        <v/>
      </c>
      <c r="W298" s="23">
        <f>IF(AND(ISNUMBER(S298),S298&gt;0),R298/S298,"")</f>
        <v/>
      </c>
      <c r="X298" s="24">
        <f>IF(AND(ISNUMBER(S298),S298&gt;0,ISNUMBER(T298)),T298/S298,"")</f>
        <v/>
      </c>
      <c r="Y298" s="8">
        <f>IF(A298="","",IF(N(R298)&lt;Settings!$B$4*Settings!$B$6,"Testing",IF(N(T298)=0,"Kill",IF(V298&lt;=Settings!$B$4,"Winner",IF(V298&lt;=Settings!$B$4*Settings!$B$5,"Watch","Kill")))))</f>
        <v/>
      </c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5" t="n"/>
      <c r="S299" s="2" t="n"/>
      <c r="T299" s="2" t="n"/>
      <c r="U299" s="10" t="n"/>
      <c r="V299" s="23">
        <f>IF(AND(ISNUMBER(T299),T299&gt;0),R299/T299,"")</f>
        <v/>
      </c>
      <c r="W299" s="23">
        <f>IF(AND(ISNUMBER(S299),S299&gt;0),R299/S299,"")</f>
        <v/>
      </c>
      <c r="X299" s="24">
        <f>IF(AND(ISNUMBER(S299),S299&gt;0,ISNUMBER(T299)),T299/S299,"")</f>
        <v/>
      </c>
      <c r="Y299" s="8">
        <f>IF(A299="","",IF(N(R299)&lt;Settings!$B$4*Settings!$B$6,"Testing",IF(N(T299)=0,"Kill",IF(V299&lt;=Settings!$B$4,"Winner",IF(V299&lt;=Settings!$B$4*Settings!$B$5,"Watch","Kill")))))</f>
        <v/>
      </c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5" t="n"/>
      <c r="S300" s="2" t="n"/>
      <c r="T300" s="2" t="n"/>
      <c r="U300" s="10" t="n"/>
      <c r="V300" s="23">
        <f>IF(AND(ISNUMBER(T300),T300&gt;0),R300/T300,"")</f>
        <v/>
      </c>
      <c r="W300" s="23">
        <f>IF(AND(ISNUMBER(S300),S300&gt;0),R300/S300,"")</f>
        <v/>
      </c>
      <c r="X300" s="24">
        <f>IF(AND(ISNUMBER(S300),S300&gt;0,ISNUMBER(T300)),T300/S300,"")</f>
        <v/>
      </c>
      <c r="Y300" s="8">
        <f>IF(A300="","",IF(N(R300)&lt;Settings!$B$4*Settings!$B$6,"Testing",IF(N(T300)=0,"Kill",IF(V300&lt;=Settings!$B$4,"Winner",IF(V300&lt;=Settings!$B$4*Settings!$B$5,"Watch","Kill")))))</f>
        <v/>
      </c>
      <c r="Z300" s="2" t="n"/>
      <c r="AA300" s="2" t="n"/>
    </row>
  </sheetData>
  <autoFilter ref="A1:AA300"/>
  <conditionalFormatting sqref="Y2:Y300">
    <cfRule type="expression" priority="1" dxfId="0">
      <formula>$Y2="Winner"</formula>
    </cfRule>
    <cfRule type="expression" priority="2" dxfId="1">
      <formula>$Y2="Watch"</formula>
    </cfRule>
    <cfRule type="expression" priority="3" dxfId="2">
      <formula>$Y2="Kill"</formula>
    </cfRule>
    <cfRule type="expression" priority="4" dxfId="3">
      <formula>$Y2="Testing"</formula>
    </cfRule>
  </conditionalFormatting>
  <dataValidations count="6">
    <dataValidation sqref="E2:E300" showDropDown="0" showInputMessage="0" showErrorMessage="0" allowBlank="1" type="list">
      <formula1>=Lists!$A$2:$A$6</formula1>
    </dataValidation>
    <dataValidation sqref="F2:F300" showDropDown="0" showInputMessage="0" showErrorMessage="0" allowBlank="1" type="list">
      <formula1>=Lists!$E$2:$E$31</formula1>
    </dataValidation>
    <dataValidation sqref="I2:I300" showDropDown="0" showInputMessage="0" showErrorMessage="0" allowBlank="1" type="list">
      <formula1>=Lists!$D$2:$D$5</formula1>
    </dataValidation>
    <dataValidation sqref="J2:J300" showDropDown="0" showInputMessage="0" showErrorMessage="0" allowBlank="1" type="list">
      <formula1>=Lists!$B$2:$B$3</formula1>
    </dataValidation>
    <dataValidation sqref="K2:K300" showDropDown="0" showInputMessage="0" showErrorMessage="0" allowBlank="1" type="list">
      <formula1>=Lists!$F$2:$F$17</formula1>
    </dataValidation>
    <dataValidation sqref="L2:L300" showDropDown="0" showInputMessage="0" showErrorMessage="0" allowBlank="1" type="list">
      <formula1>=Lists!$C$2:$C$8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30" customWidth="1" min="3" max="3"/>
    <col width="48" customWidth="1" min="4" max="4"/>
    <col width="8" customWidth="1" min="5" max="5"/>
    <col width="11" customWidth="1" min="6" max="6"/>
    <col width="8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Angle</t>
        </is>
      </c>
      <c r="B1" s="1" t="inlineStr">
        <is>
          <t>ob= code</t>
        </is>
      </c>
      <c r="C1" s="1" t="inlineStr">
        <is>
          <t>Anchor verses</t>
        </is>
      </c>
      <c r="D1" s="1" t="inlineStr">
        <is>
          <t>Notes</t>
        </is>
      </c>
      <c r="E1" s="1" t="inlineStr">
        <is>
          <t># ads</t>
        </is>
      </c>
      <c r="F1" s="1" t="inlineStr">
        <is>
          <t>Spend ($)</t>
        </is>
      </c>
      <c r="G1" s="1" t="inlineStr">
        <is>
          <t>Trials</t>
        </is>
      </c>
      <c r="H1" s="1" t="inlineStr">
        <is>
          <t>Blended cost per trial</t>
        </is>
      </c>
      <c r="I1" s="1" t="inlineStr">
        <is>
          <t>Best cost per trial</t>
        </is>
      </c>
      <c r="J1" s="1" t="inlineStr">
        <is>
          <t># winners</t>
        </is>
      </c>
    </row>
    <row r="2">
      <c r="A2" s="8" t="inlineStr">
        <is>
          <t>Mind / thoughts (renewal)</t>
        </is>
      </c>
      <c r="B2" s="11" t="inlineStr">
        <is>
          <t>renewal</t>
        </is>
      </c>
      <c r="C2" s="11" t="inlineStr">
        <is>
          <t>Romans 12:2, 1 Cor 2:16, Isaiah 26:3</t>
        </is>
      </c>
      <c r="D2" s="11" t="inlineStr">
        <is>
          <t>Best storm on the account. Serve slideshows $24 CPT.</t>
        </is>
      </c>
      <c r="E2" s="11">
        <f>COUNTIF('Ad Tracker'!$F$2:$F$300,$A2)</f>
        <v/>
      </c>
      <c r="F2" s="26">
        <f>SUMIFS('Ad Tracker'!$R$2:$R$300,'Ad Tracker'!$F$2:$F$300,$A2)</f>
        <v/>
      </c>
      <c r="G2" s="11">
        <f>SUMIFS('Ad Tracker'!$T$2:$T$300,'Ad Tracker'!$F$2:$F$300,$A2)</f>
        <v/>
      </c>
      <c r="H2" s="23">
        <f>IF(G2&gt;0,F2/G2,"")</f>
        <v/>
      </c>
      <c r="I2" s="23">
        <f>IFERROR(1/(1/_xlfn.MINIFS('Ad Tracker'!$V$2:$V$300,'Ad Tracker'!$F$2:$F$300,$A2,'Ad Tracker'!$V$2:$V$300,"&gt;0")),"")</f>
        <v/>
      </c>
      <c r="J2" s="11">
        <f>COUNTIFS('Ad Tracker'!$F$2:$F$300,$A2,'Ad Tracker'!$Y$2:$Y$300,"Winner")</f>
        <v/>
      </c>
    </row>
    <row r="3">
      <c r="A3" s="8" t="inlineStr">
        <is>
          <t>Fear &amp; anxiety</t>
        </is>
      </c>
      <c r="B3" s="11" t="inlineStr">
        <is>
          <t>anxiety</t>
        </is>
      </c>
      <c r="C3" s="11" t="inlineStr">
        <is>
          <t>Isaiah 26:3, 2 Tim 1:7</t>
        </is>
      </c>
      <c r="D3" s="11" t="inlineStr">
        <is>
          <t>Naming 'anxiety' lost; frame as thoughts instead.</t>
        </is>
      </c>
      <c r="E3" s="11">
        <f>COUNTIF('Ad Tracker'!$F$2:$F$300,$A3)</f>
        <v/>
      </c>
      <c r="F3" s="26">
        <f>SUMIFS('Ad Tracker'!$R$2:$R$300,'Ad Tracker'!$F$2:$F$300,$A3)</f>
        <v/>
      </c>
      <c r="G3" s="11">
        <f>SUMIFS('Ad Tracker'!$T$2:$T$300,'Ad Tracker'!$F$2:$F$300,$A3)</f>
        <v/>
      </c>
      <c r="H3" s="23">
        <f>IF(G3&gt;0,F3/G3,"")</f>
        <v/>
      </c>
      <c r="I3" s="23">
        <f>IFERROR(1/(1/_xlfn.MINIFS('Ad Tracker'!$V$2:$V$300,'Ad Tracker'!$F$2:$F$300,$A3,'Ad Tracker'!$V$2:$V$300,"&gt;0")),"")</f>
        <v/>
      </c>
      <c r="J3" s="11">
        <f>COUNTIFS('Ad Tracker'!$F$2:$F$300,$A3,'Ad Tracker'!$Y$2:$Y$300,"Winner")</f>
        <v/>
      </c>
    </row>
    <row r="4">
      <c r="A4" s="8" t="inlineStr">
        <is>
          <t>Promises / trust</t>
        </is>
      </c>
      <c r="B4" s="11" t="inlineStr">
        <is>
          <t>promises</t>
        </is>
      </c>
      <c r="C4" s="11" t="inlineStr">
        <is>
          <t>2 Cor 1:20, 1 Kings 8:56</t>
        </is>
      </c>
      <c r="D4" s="11" t="inlineStr">
        <is>
          <t>'The promise is settled' $26 CPT.</t>
        </is>
      </c>
      <c r="E4" s="11">
        <f>COUNTIF('Ad Tracker'!$F$2:$F$300,$A4)</f>
        <v/>
      </c>
      <c r="F4" s="26">
        <f>SUMIFS('Ad Tracker'!$R$2:$R$300,'Ad Tracker'!$F$2:$F$300,$A4)</f>
        <v/>
      </c>
      <c r="G4" s="11">
        <f>SUMIFS('Ad Tracker'!$T$2:$T$300,'Ad Tracker'!$F$2:$F$300,$A4)</f>
        <v/>
      </c>
      <c r="H4" s="23">
        <f>IF(G4&gt;0,F4/G4,"")</f>
        <v/>
      </c>
      <c r="I4" s="23">
        <f>IFERROR(1/(1/_xlfn.MINIFS('Ad Tracker'!$V$2:$V$300,'Ad Tracker'!$F$2:$F$300,$A4,'Ad Tracker'!$V$2:$V$300,"&gt;0")),"")</f>
        <v/>
      </c>
      <c r="J4" s="11">
        <f>COUNTIFS('Ad Tracker'!$F$2:$F$300,$A4,'Ad Tracker'!$Y$2:$Y$300,"Winner")</f>
        <v/>
      </c>
    </row>
    <row r="5">
      <c r="A5" s="8" t="inlineStr">
        <is>
          <t>Authority / speak to it</t>
        </is>
      </c>
      <c r="B5" s="11" t="inlineStr">
        <is>
          <t>command</t>
        </is>
      </c>
      <c r="C5" s="11" t="inlineStr">
        <is>
          <t>Mark 11:23, Mark 4:39</t>
        </is>
      </c>
      <c r="D5" s="11" t="inlineStr">
        <is>
          <t>Mixed; provocative versions pulled clicks not trials.</t>
        </is>
      </c>
      <c r="E5" s="11">
        <f>COUNTIF('Ad Tracker'!$F$2:$F$300,$A5)</f>
        <v/>
      </c>
      <c r="F5" s="26">
        <f>SUMIFS('Ad Tracker'!$R$2:$R$300,'Ad Tracker'!$F$2:$F$300,$A5)</f>
        <v/>
      </c>
      <c r="G5" s="11">
        <f>SUMIFS('Ad Tracker'!$T$2:$T$300,'Ad Tracker'!$F$2:$F$300,$A5)</f>
        <v/>
      </c>
      <c r="H5" s="23">
        <f>IF(G5&gt;0,F5/G5,"")</f>
        <v/>
      </c>
      <c r="I5" s="23">
        <f>IFERROR(1/(1/_xlfn.MINIFS('Ad Tracker'!$V$2:$V$300,'Ad Tracker'!$F$2:$F$300,$A5,'Ad Tracker'!$V$2:$V$300,"&gt;0")),"")</f>
        <v/>
      </c>
      <c r="J5" s="11">
        <f>COUNTIFS('Ad Tracker'!$F$2:$F$300,$A5,'Ad Tracker'!$Y$2:$Y$300,"Winner")</f>
        <v/>
      </c>
    </row>
    <row r="6">
      <c r="A6" s="8" t="inlineStr">
        <is>
          <t>Identity</t>
        </is>
      </c>
      <c r="B6" s="11" t="inlineStr">
        <is>
          <t>renewal</t>
        </is>
      </c>
      <c r="C6" s="11" t="inlineStr">
        <is>
          <t>2 Cor 5:17</t>
        </is>
      </c>
      <c r="D6" s="11" t="inlineStr">
        <is>
          <t>Lost as a cold hook.</t>
        </is>
      </c>
      <c r="E6" s="11">
        <f>COUNTIF('Ad Tracker'!$F$2:$F$300,$A6)</f>
        <v/>
      </c>
      <c r="F6" s="26">
        <f>SUMIFS('Ad Tracker'!$R$2:$R$300,'Ad Tracker'!$F$2:$F$300,$A6)</f>
        <v/>
      </c>
      <c r="G6" s="11">
        <f>SUMIFS('Ad Tracker'!$T$2:$T$300,'Ad Tracker'!$F$2:$F$300,$A6)</f>
        <v/>
      </c>
      <c r="H6" s="23">
        <f>IF(G6&gt;0,F6/G6,"")</f>
        <v/>
      </c>
      <c r="I6" s="23">
        <f>IFERROR(1/(1/_xlfn.MINIFS('Ad Tracker'!$V$2:$V$300,'Ad Tracker'!$F$2:$F$300,$A6,'Ad Tracker'!$V$2:$V$300,"&gt;0")),"")</f>
        <v/>
      </c>
      <c r="J6" s="11">
        <f>COUNTIFS('Ad Tracker'!$F$2:$F$300,$A6,'Ad Tracker'!$Y$2:$Y$300,"Winner")</f>
        <v/>
      </c>
    </row>
    <row r="7">
      <c r="A7" s="8" t="inlineStr">
        <is>
          <t>Health / healing</t>
        </is>
      </c>
      <c r="B7" s="11" t="inlineStr">
        <is>
          <t>healing</t>
        </is>
      </c>
      <c r="C7" s="11" t="inlineStr">
        <is>
          <t>Psalm 107:20, Isaiah 53:5</t>
        </is>
      </c>
      <c r="D7" s="11" t="inlineStr">
        <is>
          <t>Untested in this account. Storm onboarding ready.</t>
        </is>
      </c>
      <c r="E7" s="11">
        <f>COUNTIF('Ad Tracker'!$F$2:$F$300,$A7)</f>
        <v/>
      </c>
      <c r="F7" s="26">
        <f>SUMIFS('Ad Tracker'!$R$2:$R$300,'Ad Tracker'!$F$2:$F$300,$A7)</f>
        <v/>
      </c>
      <c r="G7" s="11">
        <f>SUMIFS('Ad Tracker'!$T$2:$T$300,'Ad Tracker'!$F$2:$F$300,$A7)</f>
        <v/>
      </c>
      <c r="H7" s="23">
        <f>IF(G7&gt;0,F7/G7,"")</f>
        <v/>
      </c>
      <c r="I7" s="23">
        <f>IFERROR(1/(1/_xlfn.MINIFS('Ad Tracker'!$V$2:$V$300,'Ad Tracker'!$F$2:$F$300,$A7,'Ad Tracker'!$V$2:$V$300,"&gt;0")),"")</f>
        <v/>
      </c>
      <c r="J7" s="11">
        <f>COUNTIFS('Ad Tracker'!$F$2:$F$300,$A7,'Ad Tracker'!$Y$2:$Y$300,"Winner")</f>
        <v/>
      </c>
    </row>
    <row r="8">
      <c r="A8" s="8" t="inlineStr">
        <is>
          <t>Provision</t>
        </is>
      </c>
      <c r="B8" s="11" t="inlineStr">
        <is>
          <t>provision</t>
        </is>
      </c>
      <c r="C8" s="11" t="inlineStr">
        <is>
          <t>Philippians 4:19</t>
        </is>
      </c>
      <c r="D8" s="11" t="inlineStr">
        <is>
          <t>Untested.</t>
        </is>
      </c>
      <c r="E8" s="11">
        <f>COUNTIF('Ad Tracker'!$F$2:$F$300,$A8)</f>
        <v/>
      </c>
      <c r="F8" s="26">
        <f>SUMIFS('Ad Tracker'!$R$2:$R$300,'Ad Tracker'!$F$2:$F$300,$A8)</f>
        <v/>
      </c>
      <c r="G8" s="11">
        <f>SUMIFS('Ad Tracker'!$T$2:$T$300,'Ad Tracker'!$F$2:$F$300,$A8)</f>
        <v/>
      </c>
      <c r="H8" s="23">
        <f>IF(G8&gt;0,F8/G8,"")</f>
        <v/>
      </c>
      <c r="I8" s="23">
        <f>IFERROR(1/(1/_xlfn.MINIFS('Ad Tracker'!$V$2:$V$300,'Ad Tracker'!$F$2:$F$300,$A8,'Ad Tracker'!$V$2:$V$300,"&gt;0")),"")</f>
        <v/>
      </c>
      <c r="J8" s="11">
        <f>COUNTIFS('Ad Tracker'!$F$2:$F$300,$A8,'Ad Tracker'!$Y$2:$Y$300,"Winner")</f>
        <v/>
      </c>
    </row>
    <row r="9">
      <c r="A9" s="8" t="inlineStr">
        <is>
          <t>Grief</t>
        </is>
      </c>
      <c r="B9" s="11" t="inlineStr">
        <is>
          <t>grief</t>
        </is>
      </c>
      <c r="C9" s="11" t="inlineStr">
        <is>
          <t>Psalm 34:18</t>
        </is>
      </c>
      <c r="D9" s="11" t="inlineStr">
        <is>
          <t>Untested; onboarding arm exists.</t>
        </is>
      </c>
      <c r="E9" s="11">
        <f>COUNTIF('Ad Tracker'!$F$2:$F$300,$A9)</f>
        <v/>
      </c>
      <c r="F9" s="26">
        <f>SUMIFS('Ad Tracker'!$R$2:$R$300,'Ad Tracker'!$F$2:$F$300,$A9)</f>
        <v/>
      </c>
      <c r="G9" s="11">
        <f>SUMIFS('Ad Tracker'!$T$2:$T$300,'Ad Tracker'!$F$2:$F$300,$A9)</f>
        <v/>
      </c>
      <c r="H9" s="23">
        <f>IF(G9&gt;0,F9/G9,"")</f>
        <v/>
      </c>
      <c r="I9" s="23">
        <f>IFERROR(1/(1/_xlfn.MINIFS('Ad Tracker'!$V$2:$V$300,'Ad Tracker'!$F$2:$F$300,$A9,'Ad Tracker'!$V$2:$V$300,"&gt;0")),"")</f>
        <v/>
      </c>
      <c r="J9" s="11">
        <f>COUNTIFS('Ad Tracker'!$F$2:$F$300,$A9,'Ad Tracker'!$Y$2:$Y$300,"Winner")</f>
        <v/>
      </c>
    </row>
    <row r="10">
      <c r="A10" s="8" t="inlineStr">
        <is>
          <t>Marriage</t>
        </is>
      </c>
      <c r="B10" s="11" t="inlineStr">
        <is>
          <t>marriage</t>
        </is>
      </c>
      <c r="C10" s="11" t="inlineStr">
        <is>
          <t>Mark 10:9</t>
        </is>
      </c>
      <c r="D10" s="11" t="inlineStr">
        <is>
          <t>Untested.</t>
        </is>
      </c>
      <c r="E10" s="11">
        <f>COUNTIF('Ad Tracker'!$F$2:$F$300,$A10)</f>
        <v/>
      </c>
      <c r="F10" s="26">
        <f>SUMIFS('Ad Tracker'!$R$2:$R$300,'Ad Tracker'!$F$2:$F$300,$A10)</f>
        <v/>
      </c>
      <c r="G10" s="11">
        <f>SUMIFS('Ad Tracker'!$T$2:$T$300,'Ad Tracker'!$F$2:$F$300,$A10)</f>
        <v/>
      </c>
      <c r="H10" s="23">
        <f>IF(G10&gt;0,F10/G10,"")</f>
        <v/>
      </c>
      <c r="I10" s="23">
        <f>IFERROR(1/(1/_xlfn.MINIFS('Ad Tracker'!$V$2:$V$300,'Ad Tracker'!$F$2:$F$300,$A10,'Ad Tracker'!$V$2:$V$300,"&gt;0")),"")</f>
        <v/>
      </c>
      <c r="J10" s="11">
        <f>COUNTIFS('Ad Tracker'!$F$2:$F$300,$A10,'Ad Tracker'!$Y$2:$Y$300,"Winner")</f>
        <v/>
      </c>
    </row>
    <row r="11">
      <c r="A11" s="8" t="inlineStr">
        <is>
          <t>Parenting</t>
        </is>
      </c>
      <c r="B11" s="11" t="inlineStr">
        <is>
          <t>parenting</t>
        </is>
      </c>
      <c r="C11" s="11" t="inlineStr">
        <is>
          <t>Isaiah 54:13</t>
        </is>
      </c>
      <c r="D11" s="11" t="inlineStr">
        <is>
          <t>Untested.</t>
        </is>
      </c>
      <c r="E11" s="11">
        <f>COUNTIF('Ad Tracker'!$F$2:$F$300,$A11)</f>
        <v/>
      </c>
      <c r="F11" s="26">
        <f>SUMIFS('Ad Tracker'!$R$2:$R$300,'Ad Tracker'!$F$2:$F$300,$A11)</f>
        <v/>
      </c>
      <c r="G11" s="11">
        <f>SUMIFS('Ad Tracker'!$T$2:$T$300,'Ad Tracker'!$F$2:$F$300,$A11)</f>
        <v/>
      </c>
      <c r="H11" s="23">
        <f>IF(G11&gt;0,F11/G11,"")</f>
        <v/>
      </c>
      <c r="I11" s="23">
        <f>IFERROR(1/(1/_xlfn.MINIFS('Ad Tracker'!$V$2:$V$300,'Ad Tracker'!$F$2:$F$300,$A11,'Ad Tracker'!$V$2:$V$300,"&gt;0")),"")</f>
        <v/>
      </c>
      <c r="J11" s="11">
        <f>COUNTIFS('Ad Tracker'!$F$2:$F$300,$A11,'Ad Tracker'!$Y$2:$Y$300,"Winner")</f>
        <v/>
      </c>
    </row>
    <row r="12">
      <c r="A12" s="8" t="inlineStr">
        <is>
          <t>Prodigal</t>
        </is>
      </c>
      <c r="B12" s="11" t="inlineStr">
        <is>
          <t>prodigal</t>
        </is>
      </c>
      <c r="C12" s="11" t="inlineStr">
        <is>
          <t>Luke 15:20</t>
        </is>
      </c>
      <c r="D12" s="11" t="inlineStr">
        <is>
          <t>Untested.</t>
        </is>
      </c>
      <c r="E12" s="11">
        <f>COUNTIF('Ad Tracker'!$F$2:$F$300,$A12)</f>
        <v/>
      </c>
      <c r="F12" s="26">
        <f>SUMIFS('Ad Tracker'!$R$2:$R$300,'Ad Tracker'!$F$2:$F$300,$A12)</f>
        <v/>
      </c>
      <c r="G12" s="11">
        <f>SUMIFS('Ad Tracker'!$T$2:$T$300,'Ad Tracker'!$F$2:$F$300,$A12)</f>
        <v/>
      </c>
      <c r="H12" s="23">
        <f>IF(G12&gt;0,F12/G12,"")</f>
        <v/>
      </c>
      <c r="I12" s="23">
        <f>IFERROR(1/(1/_xlfn.MINIFS('Ad Tracker'!$V$2:$V$300,'Ad Tracker'!$F$2:$F$300,$A12,'Ad Tracker'!$V$2:$V$300,"&gt;0")),"")</f>
        <v/>
      </c>
      <c r="J12" s="11">
        <f>COUNTIFS('Ad Tracker'!$F$2:$F$300,$A12,'Ad Tracker'!$Y$2:$Y$300,"Winner")</f>
        <v/>
      </c>
    </row>
    <row r="13">
      <c r="A13" s="8" t="inlineStr">
        <is>
          <t>Purity</t>
        </is>
      </c>
      <c r="B13" s="11" t="inlineStr">
        <is>
          <t>purity</t>
        </is>
      </c>
      <c r="C13" s="11" t="inlineStr">
        <is>
          <t>Matthew 4:4</t>
        </is>
      </c>
      <c r="D13" s="11" t="inlineStr">
        <is>
          <t>Untested.</t>
        </is>
      </c>
      <c r="E13" s="11">
        <f>COUNTIF('Ad Tracker'!$F$2:$F$300,$A13)</f>
        <v/>
      </c>
      <c r="F13" s="26">
        <f>SUMIFS('Ad Tracker'!$R$2:$R$300,'Ad Tracker'!$F$2:$F$300,$A13)</f>
        <v/>
      </c>
      <c r="G13" s="11">
        <f>SUMIFS('Ad Tracker'!$T$2:$T$300,'Ad Tracker'!$F$2:$F$300,$A13)</f>
        <v/>
      </c>
      <c r="H13" s="23">
        <f>IF(G13&gt;0,F13/G13,"")</f>
        <v/>
      </c>
      <c r="I13" s="23">
        <f>IFERROR(1/(1/_xlfn.MINIFS('Ad Tracker'!$V$2:$V$300,'Ad Tracker'!$F$2:$F$300,$A13,'Ad Tracker'!$V$2:$V$300,"&gt;0")),"")</f>
        <v/>
      </c>
      <c r="J13" s="11">
        <f>COUNTIFS('Ad Tracker'!$F$2:$F$300,$A13,'Ad Tracker'!$Y$2:$Y$300,"Winner")</f>
        <v/>
      </c>
    </row>
    <row r="14">
      <c r="A14" s="8" t="inlineStr">
        <is>
          <t>Addiction</t>
        </is>
      </c>
      <c r="B14" s="11" t="inlineStr">
        <is>
          <t>addiction</t>
        </is>
      </c>
      <c r="C14" s="11" t="inlineStr">
        <is>
          <t>John 8:36</t>
        </is>
      </c>
      <c r="D14" s="11" t="inlineStr">
        <is>
          <t>Untested.</t>
        </is>
      </c>
      <c r="E14" s="11">
        <f>COUNTIF('Ad Tracker'!$F$2:$F$300,$A14)</f>
        <v/>
      </c>
      <c r="F14" s="26">
        <f>SUMIFS('Ad Tracker'!$R$2:$R$300,'Ad Tracker'!$F$2:$F$300,$A14)</f>
        <v/>
      </c>
      <c r="G14" s="11">
        <f>SUMIFS('Ad Tracker'!$T$2:$T$300,'Ad Tracker'!$F$2:$F$300,$A14)</f>
        <v/>
      </c>
      <c r="H14" s="23">
        <f>IF(G14&gt;0,F14/G14,"")</f>
        <v/>
      </c>
      <c r="I14" s="23">
        <f>IFERROR(1/(1/_xlfn.MINIFS('Ad Tracker'!$V$2:$V$300,'Ad Tracker'!$F$2:$F$300,$A14,'Ad Tracker'!$V$2:$V$300,"&gt;0")),"")</f>
        <v/>
      </c>
      <c r="J14" s="11">
        <f>COUNTIFS('Ad Tracker'!$F$2:$F$300,$A14,'Ad Tracker'!$Y$2:$Y$300,"Winner")</f>
        <v/>
      </c>
    </row>
    <row r="15">
      <c r="A15" s="8" t="inlineStr">
        <is>
          <t>Hard times</t>
        </is>
      </c>
      <c r="B15" s="11" t="inlineStr">
        <is>
          <t>hardtimes</t>
        </is>
      </c>
      <c r="C15" s="11" t="inlineStr">
        <is>
          <t>Isaiah 43:2</t>
        </is>
      </c>
      <c r="D15" s="11" t="inlineStr">
        <is>
          <t>Untested.</t>
        </is>
      </c>
      <c r="E15" s="11">
        <f>COUNTIF('Ad Tracker'!$F$2:$F$300,$A15)</f>
        <v/>
      </c>
      <c r="F15" s="26">
        <f>SUMIFS('Ad Tracker'!$R$2:$R$300,'Ad Tracker'!$F$2:$F$300,$A15)</f>
        <v/>
      </c>
      <c r="G15" s="11">
        <f>SUMIFS('Ad Tracker'!$T$2:$T$300,'Ad Tracker'!$F$2:$F$300,$A15)</f>
        <v/>
      </c>
      <c r="H15" s="23">
        <f>IF(G15&gt;0,F15/G15,"")</f>
        <v/>
      </c>
      <c r="I15" s="23">
        <f>IFERROR(1/(1/_xlfn.MINIFS('Ad Tracker'!$V$2:$V$300,'Ad Tracker'!$F$2:$F$300,$A15,'Ad Tracker'!$V$2:$V$300,"&gt;0")),"")</f>
        <v/>
      </c>
      <c r="J15" s="11">
        <f>COUNTIFS('Ad Tracker'!$F$2:$F$300,$A15,'Ad Tracker'!$Y$2:$Y$300,"Winner")</f>
        <v/>
      </c>
    </row>
    <row r="16">
      <c r="A16" s="8" t="inlineStr">
        <is>
          <t>Consistency / habit</t>
        </is>
      </c>
      <c r="B16" s="11" t="inlineStr">
        <is>
          <t>command</t>
        </is>
      </c>
      <c r="C16" s="11" t="inlineStr">
        <is>
          <t>Joshua 1:8</t>
        </is>
      </c>
      <c r="D16" s="11" t="inlineStr">
        <is>
          <t>Untested.</t>
        </is>
      </c>
      <c r="E16" s="11">
        <f>COUNTIF('Ad Tracker'!$F$2:$F$300,$A16)</f>
        <v/>
      </c>
      <c r="F16" s="26">
        <f>SUMIFS('Ad Tracker'!$R$2:$R$300,'Ad Tracker'!$F$2:$F$300,$A16)</f>
        <v/>
      </c>
      <c r="G16" s="11">
        <f>SUMIFS('Ad Tracker'!$T$2:$T$300,'Ad Tracker'!$F$2:$F$300,$A16)</f>
        <v/>
      </c>
      <c r="H16" s="23">
        <f>IF(G16&gt;0,F16/G16,"")</f>
        <v/>
      </c>
      <c r="I16" s="23">
        <f>IFERROR(1/(1/_xlfn.MINIFS('Ad Tracker'!$V$2:$V$300,'Ad Tracker'!$F$2:$F$300,$A16,'Ad Tracker'!$V$2:$V$300,"&gt;0")),"")</f>
        <v/>
      </c>
      <c r="J16" s="11">
        <f>COUNTIFS('Ad Tracker'!$F$2:$F$300,$A16,'Ad Tracker'!$Y$2:$Y$300,"Winner")</f>
        <v/>
      </c>
    </row>
    <row r="17">
      <c r="A17" s="8" t="inlineStr">
        <is>
          <t>Prayer how-to</t>
        </is>
      </c>
      <c r="B17" s="11" t="inlineStr">
        <is>
          <t>command</t>
        </is>
      </c>
      <c r="C17" s="11" t="inlineStr">
        <is>
          <t>Mark 11:23</t>
        </is>
      </c>
      <c r="D17" s="11" t="inlineStr">
        <is>
          <t>'how to pray' $37.</t>
        </is>
      </c>
      <c r="E17" s="11">
        <f>COUNTIF('Ad Tracker'!$F$2:$F$300,$A17)</f>
        <v/>
      </c>
      <c r="F17" s="26">
        <f>SUMIFS('Ad Tracker'!$R$2:$R$300,'Ad Tracker'!$F$2:$F$300,$A17)</f>
        <v/>
      </c>
      <c r="G17" s="11">
        <f>SUMIFS('Ad Tracker'!$T$2:$T$300,'Ad Tracker'!$F$2:$F$300,$A17)</f>
        <v/>
      </c>
      <c r="H17" s="23">
        <f>IF(G17&gt;0,F17/G17,"")</f>
        <v/>
      </c>
      <c r="I17" s="23">
        <f>IFERROR(1/(1/_xlfn.MINIFS('Ad Tracker'!$V$2:$V$300,'Ad Tracker'!$F$2:$F$300,$A17,'Ad Tracker'!$V$2:$V$300,"&gt;0")),"")</f>
        <v/>
      </c>
      <c r="J17" s="11">
        <f>COUNTIFS('Ad Tracker'!$F$2:$F$300,$A17,'Ad Tracker'!$Y$2:$Y$300,"Winner")</f>
        <v/>
      </c>
    </row>
    <row r="18">
      <c r="A18" s="8" t="inlineStr">
        <is>
          <t>Product / feature</t>
        </is>
      </c>
      <c r="B18" s="11" t="inlineStr"/>
      <c r="C18" s="11" t="inlineStr"/>
      <c r="D18" s="11" t="inlineStr">
        <is>
          <t>Feature-led cold ads lost; use demos for warm buyers.</t>
        </is>
      </c>
      <c r="E18" s="11">
        <f>COUNTIF('Ad Tracker'!$F$2:$F$300,$A18)</f>
        <v/>
      </c>
      <c r="F18" s="26">
        <f>SUMIFS('Ad Tracker'!$R$2:$R$300,'Ad Tracker'!$F$2:$F$300,$A18)</f>
        <v/>
      </c>
      <c r="G18" s="11">
        <f>SUMIFS('Ad Tracker'!$T$2:$T$300,'Ad Tracker'!$F$2:$F$300,$A18)</f>
        <v/>
      </c>
      <c r="H18" s="23">
        <f>IF(G18&gt;0,F18/G18,"")</f>
        <v/>
      </c>
      <c r="I18" s="23">
        <f>IFERROR(1/(1/_xlfn.MINIFS('Ad Tracker'!$V$2:$V$300,'Ad Tracker'!$F$2:$F$300,$A18,'Ad Tracker'!$V$2:$V$300,"&gt;0")),"")</f>
        <v/>
      </c>
      <c r="J18" s="11">
        <f>COUNTIFS('Ad Tracker'!$F$2:$F$300,$A18,'Ad Tracker'!$Y$2:$Y$300,"Winner")</f>
        <v/>
      </c>
    </row>
    <row r="19">
      <c r="A19" s="8" t="inlineStr">
        <is>
          <t>Protection</t>
        </is>
      </c>
      <c r="B19" s="11" t="inlineStr">
        <is>
          <t>command</t>
        </is>
      </c>
      <c r="C19" s="11" t="inlineStr">
        <is>
          <t>Psalm 121:7-8, Psalm 91:11</t>
        </is>
      </c>
      <c r="D19" s="11" t="inlineStr">
        <is>
          <t>New promise angle (see docs/creative/ANGLES.md)</t>
        </is>
      </c>
      <c r="E19" s="11">
        <f>COUNTIF('Ad Tracker'!$F$2:$F$300,$A19)</f>
        <v/>
      </c>
      <c r="F19" s="26">
        <f>SUMIFS('Ad Tracker'!$R$2:$R$300,'Ad Tracker'!$F$2:$F$300,$A19)</f>
        <v/>
      </c>
      <c r="G19" s="11">
        <f>SUMIFS('Ad Tracker'!$T$2:$T$300,'Ad Tracker'!$F$2:$F$300,$A19)</f>
        <v/>
      </c>
      <c r="H19" s="23">
        <f>IF(G19&gt;0,F19/G19,"")</f>
        <v/>
      </c>
      <c r="I19" s="23">
        <f>IFERROR(1/(1/_xlfn.MINIFS('Ad Tracker'!$V$2:$V$300,'Ad Tracker'!$F$2:$F$300,$A19,'Ad Tracker'!$V$2:$V$300,"&gt;0")),"")</f>
        <v/>
      </c>
      <c r="J19" s="11">
        <f>COUNTIFS('Ad Tracker'!$F$2:$F$300,$A19,'Ad Tracker'!$Y$2:$Y$300,"Winner")</f>
        <v/>
      </c>
    </row>
    <row r="20">
      <c r="A20" s="8" t="inlineStr">
        <is>
          <t>Sleep &amp; rest</t>
        </is>
      </c>
      <c r="B20" s="11" t="inlineStr">
        <is>
          <t>anxiety</t>
        </is>
      </c>
      <c r="C20" s="11" t="inlineStr">
        <is>
          <t>Psalm 4:8</t>
        </is>
      </c>
      <c r="D20" s="11" t="inlineStr">
        <is>
          <t>New promise angle (see docs/creative/ANGLES.md)</t>
        </is>
      </c>
      <c r="E20" s="11">
        <f>COUNTIF('Ad Tracker'!$F$2:$F$300,$A20)</f>
        <v/>
      </c>
      <c r="F20" s="26">
        <f>SUMIFS('Ad Tracker'!$R$2:$R$300,'Ad Tracker'!$F$2:$F$300,$A20)</f>
        <v/>
      </c>
      <c r="G20" s="11">
        <f>SUMIFS('Ad Tracker'!$T$2:$T$300,'Ad Tracker'!$F$2:$F$300,$A20)</f>
        <v/>
      </c>
      <c r="H20" s="23">
        <f>IF(G20&gt;0,F20/G20,"")</f>
        <v/>
      </c>
      <c r="I20" s="23">
        <f>IFERROR(1/(1/_xlfn.MINIFS('Ad Tracker'!$V$2:$V$300,'Ad Tracker'!$F$2:$F$300,$A20,'Ad Tracker'!$V$2:$V$300,"&gt;0")),"")</f>
        <v/>
      </c>
      <c r="J20" s="11">
        <f>COUNTIFS('Ad Tracker'!$F$2:$F$300,$A20,'Ad Tracker'!$Y$2:$Y$300,"Winner")</f>
        <v/>
      </c>
    </row>
    <row r="21">
      <c r="A21" s="8" t="inlineStr">
        <is>
          <t>Growing older</t>
        </is>
      </c>
      <c r="B21" s="11" t="inlineStr">
        <is>
          <t>promises</t>
        </is>
      </c>
      <c r="C21" s="11" t="inlineStr">
        <is>
          <t>Isaiah 46:4</t>
        </is>
      </c>
      <c r="D21" s="11" t="inlineStr">
        <is>
          <t>New promise angle (see docs/creative/ANGLES.md)</t>
        </is>
      </c>
      <c r="E21" s="11">
        <f>COUNTIF('Ad Tracker'!$F$2:$F$300,$A21)</f>
        <v/>
      </c>
      <c r="F21" s="26">
        <f>SUMIFS('Ad Tracker'!$R$2:$R$300,'Ad Tracker'!$F$2:$F$300,$A21)</f>
        <v/>
      </c>
      <c r="G21" s="11">
        <f>SUMIFS('Ad Tracker'!$T$2:$T$300,'Ad Tracker'!$F$2:$F$300,$A21)</f>
        <v/>
      </c>
      <c r="H21" s="23">
        <f>IF(G21&gt;0,F21/G21,"")</f>
        <v/>
      </c>
      <c r="I21" s="23">
        <f>IFERROR(1/(1/_xlfn.MINIFS('Ad Tracker'!$V$2:$V$300,'Ad Tracker'!$F$2:$F$300,$A21,'Ad Tracker'!$V$2:$V$300,"&gt;0")),"")</f>
        <v/>
      </c>
      <c r="J21" s="11">
        <f>COUNTIFS('Ad Tracker'!$F$2:$F$300,$A21,'Ad Tracker'!$Y$2:$Y$300,"Winner")</f>
        <v/>
      </c>
    </row>
    <row r="22">
      <c r="A22" s="8" t="inlineStr">
        <is>
          <t>Children &amp; grandchildren</t>
        </is>
      </c>
      <c r="B22" s="11" t="inlineStr">
        <is>
          <t>parenting</t>
        </is>
      </c>
      <c r="C22" s="11" t="inlineStr">
        <is>
          <t>Isaiah 54:13</t>
        </is>
      </c>
      <c r="D22" s="11" t="inlineStr">
        <is>
          <t>New promise angle (see docs/creative/ANGLES.md)</t>
        </is>
      </c>
      <c r="E22" s="11">
        <f>COUNTIF('Ad Tracker'!$F$2:$F$300,$A22)</f>
        <v/>
      </c>
      <c r="F22" s="26">
        <f>SUMIFS('Ad Tracker'!$R$2:$R$300,'Ad Tracker'!$F$2:$F$300,$A22)</f>
        <v/>
      </c>
      <c r="G22" s="11">
        <f>SUMIFS('Ad Tracker'!$T$2:$T$300,'Ad Tracker'!$F$2:$F$300,$A22)</f>
        <v/>
      </c>
      <c r="H22" s="23">
        <f>IF(G22&gt;0,F22/G22,"")</f>
        <v/>
      </c>
      <c r="I22" s="23">
        <f>IFERROR(1/(1/_xlfn.MINIFS('Ad Tracker'!$V$2:$V$300,'Ad Tracker'!$F$2:$F$300,$A22,'Ad Tracker'!$V$2:$V$300,"&gt;0")),"")</f>
        <v/>
      </c>
      <c r="J22" s="11">
        <f>COUNTIFS('Ad Tracker'!$F$2:$F$300,$A22,'Ad Tracker'!$Y$2:$Y$300,"Winner")</f>
        <v/>
      </c>
    </row>
    <row r="23">
      <c r="A23" s="8" t="inlineStr">
        <is>
          <t>Strength when weary</t>
        </is>
      </c>
      <c r="B23" s="11" t="inlineStr">
        <is>
          <t>hardtimes</t>
        </is>
      </c>
      <c r="C23" s="11" t="inlineStr">
        <is>
          <t>Isaiah 40:31</t>
        </is>
      </c>
      <c r="D23" s="11" t="inlineStr">
        <is>
          <t>New promise angle (see docs/creative/ANGLES.md)</t>
        </is>
      </c>
      <c r="E23" s="11">
        <f>COUNTIF('Ad Tracker'!$F$2:$F$300,$A23)</f>
        <v/>
      </c>
      <c r="F23" s="26">
        <f>SUMIFS('Ad Tracker'!$R$2:$R$300,'Ad Tracker'!$F$2:$F$300,$A23)</f>
        <v/>
      </c>
      <c r="G23" s="11">
        <f>SUMIFS('Ad Tracker'!$T$2:$T$300,'Ad Tracker'!$F$2:$F$300,$A23)</f>
        <v/>
      </c>
      <c r="H23" s="23">
        <f>IF(G23&gt;0,F23/G23,"")</f>
        <v/>
      </c>
      <c r="I23" s="23">
        <f>IFERROR(1/(1/_xlfn.MINIFS('Ad Tracker'!$V$2:$V$300,'Ad Tracker'!$F$2:$F$300,$A23,'Ad Tracker'!$V$2:$V$300,"&gt;0")),"")</f>
        <v/>
      </c>
      <c r="J23" s="11">
        <f>COUNTIFS('Ad Tracker'!$F$2:$F$300,$A23,'Ad Tracker'!$Y$2:$Y$300,"Winner")</f>
        <v/>
      </c>
    </row>
    <row r="24">
      <c r="A24" s="8" t="inlineStr">
        <is>
          <t>Waiting on a promise</t>
        </is>
      </c>
      <c r="B24" s="11" t="inlineStr">
        <is>
          <t>promises</t>
        </is>
      </c>
      <c r="C24" s="11" t="inlineStr">
        <is>
          <t>2 Corinthians 1:20</t>
        </is>
      </c>
      <c r="D24" s="11" t="inlineStr">
        <is>
          <t>New promise angle (see docs/creative/ANGLES.md)</t>
        </is>
      </c>
      <c r="E24" s="11">
        <f>COUNTIF('Ad Tracker'!$F$2:$F$300,$A24)</f>
        <v/>
      </c>
      <c r="F24" s="26">
        <f>SUMIFS('Ad Tracker'!$R$2:$R$300,'Ad Tracker'!$F$2:$F$300,$A24)</f>
        <v/>
      </c>
      <c r="G24" s="11">
        <f>SUMIFS('Ad Tracker'!$T$2:$T$300,'Ad Tracker'!$F$2:$F$300,$A24)</f>
        <v/>
      </c>
      <c r="H24" s="23">
        <f>IF(G24&gt;0,F24/G24,"")</f>
        <v/>
      </c>
      <c r="I24" s="23">
        <f>IFERROR(1/(1/_xlfn.MINIFS('Ad Tracker'!$V$2:$V$300,'Ad Tracker'!$F$2:$F$300,$A24,'Ad Tracker'!$V$2:$V$300,"&gt;0")),"")</f>
        <v/>
      </c>
      <c r="J24" s="11">
        <f>COUNTIFS('Ad Tracker'!$F$2:$F$300,$A24,'Ad Tracker'!$Y$2:$Y$300,"Winner")</f>
        <v/>
      </c>
    </row>
    <row r="25">
      <c r="A25" s="8" t="inlineStr">
        <is>
          <t>Guidance &amp; decisions</t>
        </is>
      </c>
      <c r="B25" s="11" t="inlineStr">
        <is>
          <t>renewal</t>
        </is>
      </c>
      <c r="C25" s="11" t="inlineStr">
        <is>
          <t>Proverbs 3:5-6</t>
        </is>
      </c>
      <c r="D25" s="11" t="inlineStr">
        <is>
          <t>New promise angle (see docs/creative/ANGLES.md)</t>
        </is>
      </c>
      <c r="E25" s="11">
        <f>COUNTIF('Ad Tracker'!$F$2:$F$300,$A25)</f>
        <v/>
      </c>
      <c r="F25" s="26">
        <f>SUMIFS('Ad Tracker'!$R$2:$R$300,'Ad Tracker'!$F$2:$F$300,$A25)</f>
        <v/>
      </c>
      <c r="G25" s="11">
        <f>SUMIFS('Ad Tracker'!$T$2:$T$300,'Ad Tracker'!$F$2:$F$300,$A25)</f>
        <v/>
      </c>
      <c r="H25" s="23">
        <f>IF(G25&gt;0,F25/G25,"")</f>
        <v/>
      </c>
      <c r="I25" s="23">
        <f>IFERROR(1/(1/_xlfn.MINIFS('Ad Tracker'!$V$2:$V$300,'Ad Tracker'!$F$2:$F$300,$A25,'Ad Tracker'!$V$2:$V$300,"&gt;0")),"")</f>
        <v/>
      </c>
      <c r="J25" s="11">
        <f>COUNTIFS('Ad Tracker'!$F$2:$F$300,$A25,'Ad Tracker'!$Y$2:$Y$300,"Winner")</f>
        <v/>
      </c>
    </row>
    <row r="26">
      <c r="A26" s="8" t="inlineStr">
        <is>
          <t>Not alone</t>
        </is>
      </c>
      <c r="B26" s="11" t="inlineStr">
        <is>
          <t>promises</t>
        </is>
      </c>
      <c r="C26" s="11" t="inlineStr">
        <is>
          <t>Hebrews 13:5</t>
        </is>
      </c>
      <c r="D26" s="11" t="inlineStr">
        <is>
          <t>New promise angle (see docs/creative/ANGLES.md)</t>
        </is>
      </c>
      <c r="E26" s="11">
        <f>COUNTIF('Ad Tracker'!$F$2:$F$300,$A26)</f>
        <v/>
      </c>
      <c r="F26" s="26">
        <f>SUMIFS('Ad Tracker'!$R$2:$R$300,'Ad Tracker'!$F$2:$F$300,$A26)</f>
        <v/>
      </c>
      <c r="G26" s="11">
        <f>SUMIFS('Ad Tracker'!$T$2:$T$300,'Ad Tracker'!$F$2:$F$300,$A26)</f>
        <v/>
      </c>
      <c r="H26" s="23">
        <f>IF(G26&gt;0,F26/G26,"")</f>
        <v/>
      </c>
      <c r="I26" s="23">
        <f>IFERROR(1/(1/_xlfn.MINIFS('Ad Tracker'!$V$2:$V$300,'Ad Tracker'!$F$2:$F$300,$A26,'Ad Tracker'!$V$2:$V$300,"&gt;0")),"")</f>
        <v/>
      </c>
      <c r="J26" s="11">
        <f>COUNTIFS('Ad Tracker'!$F$2:$F$300,$A26,'Ad Tracker'!$Y$2:$Y$300,"Winner")</f>
        <v/>
      </c>
    </row>
    <row r="27">
      <c r="A27" s="8" t="inlineStr">
        <is>
          <t>Shame &amp; the past</t>
        </is>
      </c>
      <c r="B27" s="11" t="inlineStr">
        <is>
          <t>renewal</t>
        </is>
      </c>
      <c r="C27" s="11" t="inlineStr">
        <is>
          <t>Romans 8:1</t>
        </is>
      </c>
      <c r="D27" s="11" t="inlineStr">
        <is>
          <t>New promise angle (see docs/creative/ANGLES.md)</t>
        </is>
      </c>
      <c r="E27" s="11">
        <f>COUNTIF('Ad Tracker'!$F$2:$F$300,$A27)</f>
        <v/>
      </c>
      <c r="F27" s="26">
        <f>SUMIFS('Ad Tracker'!$R$2:$R$300,'Ad Tracker'!$F$2:$F$300,$A27)</f>
        <v/>
      </c>
      <c r="G27" s="11">
        <f>SUMIFS('Ad Tracker'!$T$2:$T$300,'Ad Tracker'!$F$2:$F$300,$A27)</f>
        <v/>
      </c>
      <c r="H27" s="23">
        <f>IF(G27&gt;0,F27/G27,"")</f>
        <v/>
      </c>
      <c r="I27" s="23">
        <f>IFERROR(1/(1/_xlfn.MINIFS('Ad Tracker'!$V$2:$V$300,'Ad Tracker'!$F$2:$F$300,$A27,'Ad Tracker'!$V$2:$V$300,"&gt;0")),"")</f>
        <v/>
      </c>
      <c r="J27" s="11">
        <f>COUNTIFS('Ad Tracker'!$F$2:$F$300,$A27,'Ad Tracker'!$Y$2:$Y$300,"Winner")</f>
        <v/>
      </c>
    </row>
    <row r="28">
      <c r="A28" s="8" t="inlineStr">
        <is>
          <t>Work &amp; purpose</t>
        </is>
      </c>
      <c r="B28" s="11" t="inlineStr">
        <is>
          <t>command</t>
        </is>
      </c>
      <c r="C28" s="11" t="inlineStr">
        <is>
          <t>Psalm 90:17</t>
        </is>
      </c>
      <c r="D28" s="11" t="inlineStr">
        <is>
          <t>New promise angle (see docs/creative/ANGLES.md)</t>
        </is>
      </c>
      <c r="E28" s="11">
        <f>COUNTIF('Ad Tracker'!$F$2:$F$300,$A28)</f>
        <v/>
      </c>
      <c r="F28" s="26">
        <f>SUMIFS('Ad Tracker'!$R$2:$R$300,'Ad Tracker'!$F$2:$F$300,$A28)</f>
        <v/>
      </c>
      <c r="G28" s="11">
        <f>SUMIFS('Ad Tracker'!$T$2:$T$300,'Ad Tracker'!$F$2:$F$300,$A28)</f>
        <v/>
      </c>
      <c r="H28" s="23">
        <f>IF(G28&gt;0,F28/G28,"")</f>
        <v/>
      </c>
      <c r="I28" s="23">
        <f>IFERROR(1/(1/_xlfn.MINIFS('Ad Tracker'!$V$2:$V$300,'Ad Tracker'!$F$2:$F$300,$A28,'Ad Tracker'!$V$2:$V$300,"&gt;0")),"")</f>
        <v/>
      </c>
      <c r="J28" s="11">
        <f>COUNTIFS('Ad Tracker'!$F$2:$F$300,$A28,'Ad Tracker'!$Y$2:$Y$300,"Winner")</f>
        <v/>
      </c>
    </row>
    <row r="29">
      <c r="A29" s="8" t="inlineStr">
        <is>
          <t>Joy after a hard season</t>
        </is>
      </c>
      <c r="B29" s="11" t="inlineStr">
        <is>
          <t>hardtimes</t>
        </is>
      </c>
      <c r="C29" s="11" t="inlineStr">
        <is>
          <t>Psalm 30:5</t>
        </is>
      </c>
      <c r="D29" s="11" t="inlineStr">
        <is>
          <t>New promise angle (see docs/creative/ANGLES.md)</t>
        </is>
      </c>
      <c r="E29" s="11">
        <f>COUNTIF('Ad Tracker'!$F$2:$F$300,$A29)</f>
        <v/>
      </c>
      <c r="F29" s="26">
        <f>SUMIFS('Ad Tracker'!$R$2:$R$300,'Ad Tracker'!$F$2:$F$300,$A29)</f>
        <v/>
      </c>
      <c r="G29" s="11">
        <f>SUMIFS('Ad Tracker'!$T$2:$T$300,'Ad Tracker'!$F$2:$F$300,$A29)</f>
        <v/>
      </c>
      <c r="H29" s="23">
        <f>IF(G29&gt;0,F29/G29,"")</f>
        <v/>
      </c>
      <c r="I29" s="23">
        <f>IFERROR(1/(1/_xlfn.MINIFS('Ad Tracker'!$V$2:$V$300,'Ad Tracker'!$F$2:$F$300,$A29,'Ad Tracker'!$V$2:$V$300,"&gt;0")),"")</f>
        <v/>
      </c>
      <c r="J29" s="11">
        <f>COUNTIFS('Ad Tracker'!$F$2:$F$300,$A29,'Ad Tracker'!$Y$2:$Y$300,"Winner")</f>
        <v/>
      </c>
    </row>
    <row r="30">
      <c r="A30" s="8" t="inlineStr">
        <is>
          <t>Freedom</t>
        </is>
      </c>
      <c r="B30" s="11" t="inlineStr">
        <is>
          <t>addiction</t>
        </is>
      </c>
      <c r="C30" s="11" t="inlineStr">
        <is>
          <t>John 8:36</t>
        </is>
      </c>
      <c r="D30" s="11" t="inlineStr">
        <is>
          <t>New promise angle (see docs/creative/ANGLES.md)</t>
        </is>
      </c>
      <c r="E30" s="11">
        <f>COUNTIF('Ad Tracker'!$F$2:$F$300,$A30)</f>
        <v/>
      </c>
      <c r="F30" s="26">
        <f>SUMIFS('Ad Tracker'!$R$2:$R$300,'Ad Tracker'!$F$2:$F$300,$A30)</f>
        <v/>
      </c>
      <c r="G30" s="11">
        <f>SUMIFS('Ad Tracker'!$T$2:$T$300,'Ad Tracker'!$F$2:$F$300,$A30)</f>
        <v/>
      </c>
      <c r="H30" s="23">
        <f>IF(G30&gt;0,F30/G30,"")</f>
        <v/>
      </c>
      <c r="I30" s="23">
        <f>IFERROR(1/(1/_xlfn.MINIFS('Ad Tracker'!$V$2:$V$300,'Ad Tracker'!$F$2:$F$300,$A30,'Ad Tracker'!$V$2:$V$300,"&gt;0")),"")</f>
        <v/>
      </c>
      <c r="J30" s="11">
        <f>COUNTIFS('Ad Tracker'!$F$2:$F$300,$A30,'Ad Tracker'!$Y$2:$Y$300,"Winner")</f>
        <v/>
      </c>
    </row>
    <row r="32">
      <c r="A32" s="13" t="inlineStr">
        <is>
          <t>Counts and costs pull from the Ad Tracker 'Angle' column.</t>
        </is>
      </c>
    </row>
    <row r="33">
      <c r="A33" s="13" t="inlineStr">
        <is>
          <t>ob= code = deep link that lands the ad's persona in the matching onboarding (see speaklife-personas skill).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70" customWidth="1" min="2" max="2"/>
    <col width="26" customWidth="1" min="3" max="3"/>
    <col width="12" customWidth="1" min="4" max="4"/>
    <col width="8" customWidth="1" min="5" max="5"/>
    <col width="11" customWidth="1" min="6" max="6"/>
    <col width="8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Formula</t>
        </is>
      </c>
      <c r="B1" s="1" t="inlineStr">
        <is>
          <t>Structure (steps)</t>
        </is>
      </c>
      <c r="C1" s="1" t="inlineStr">
        <is>
          <t>Best for</t>
        </is>
      </c>
      <c r="D1" s="1" t="inlineStr">
        <is>
          <t>Serve / Sell</t>
        </is>
      </c>
      <c r="E1" s="1" t="inlineStr">
        <is>
          <t># ads</t>
        </is>
      </c>
      <c r="F1" s="1" t="inlineStr">
        <is>
          <t>Spend ($)</t>
        </is>
      </c>
      <c r="G1" s="1" t="inlineStr">
        <is>
          <t>Trials</t>
        </is>
      </c>
      <c r="H1" s="1" t="inlineStr">
        <is>
          <t>Blended cost per trial</t>
        </is>
      </c>
      <c r="I1" s="1" t="inlineStr">
        <is>
          <t>Best cost per trial</t>
        </is>
      </c>
      <c r="J1" s="1" t="inlineStr">
        <is>
          <t># winners</t>
        </is>
      </c>
    </row>
    <row r="2">
      <c r="A2" s="8" t="inlineStr">
        <is>
          <t>#1 Revival Reel</t>
        </is>
      </c>
      <c r="B2" s="11" t="inlineStr">
        <is>
          <t>Callout &gt; Imagine &gt; The truth is &gt; You can &gt; Product &gt; 3 bullets &gt; This isn't just &gt; CTA</t>
        </is>
      </c>
      <c r="C2" s="11" t="inlineStr">
        <is>
          <t>Cold, dream-first</t>
        </is>
      </c>
      <c r="D2" s="11" t="inlineStr">
        <is>
          <t>Sell</t>
        </is>
      </c>
      <c r="E2" s="11">
        <f>COUNTIF('Ad Tracker'!$K$2:$K$300,$A2)</f>
        <v/>
      </c>
      <c r="F2" s="26">
        <f>SUMIFS('Ad Tracker'!$R$2:$R$300,'Ad Tracker'!$K$2:$K$300,$A2)</f>
        <v/>
      </c>
      <c r="G2" s="11">
        <f>SUMIFS('Ad Tracker'!$T$2:$T$300,'Ad Tracker'!$K$2:$K$300,$A2)</f>
        <v/>
      </c>
      <c r="H2" s="23">
        <f>IF(G2&gt;0,F2/G2,"")</f>
        <v/>
      </c>
      <c r="I2" s="23">
        <f>IFERROR(1/(1/_xlfn.MINIFS('Ad Tracker'!$V$2:$V$300,'Ad Tracker'!$K$2:$K$300,$A2,'Ad Tracker'!$V$2:$V$300,"&gt;0")),"")</f>
        <v/>
      </c>
      <c r="J2" s="11">
        <f>COUNTIFS('Ad Tracker'!$K$2:$K$300,$A2,'Ad Tracker'!$Y$2:$Y$300,"Winner")</f>
        <v/>
      </c>
    </row>
    <row r="3">
      <c r="A3" s="8" t="inlineStr">
        <is>
          <t>#2 Third Door</t>
        </is>
      </c>
      <c r="B3" s="11" t="inlineStr">
        <is>
          <t>Core question &gt; Door 1 &gt; Door 2 &gt; Or... (speak like Jesus) &gt; mechanism &gt; 3 bullets &gt; payoff &gt; CTA</t>
        </is>
      </c>
      <c r="C3" s="11" t="inlineStr">
        <is>
          <t>Cold, tried-everything</t>
        </is>
      </c>
      <c r="D3" s="11" t="inlineStr">
        <is>
          <t>Serve or Sell</t>
        </is>
      </c>
      <c r="E3" s="11">
        <f>COUNTIF('Ad Tracker'!$K$2:$K$300,$A3)</f>
        <v/>
      </c>
      <c r="F3" s="26">
        <f>SUMIFS('Ad Tracker'!$R$2:$R$300,'Ad Tracker'!$K$2:$K$300,$A3)</f>
        <v/>
      </c>
      <c r="G3" s="11">
        <f>SUMIFS('Ad Tracker'!$T$2:$T$300,'Ad Tracker'!$K$2:$K$300,$A3)</f>
        <v/>
      </c>
      <c r="H3" s="23">
        <f>IF(G3&gt;0,F3/G3,"")</f>
        <v/>
      </c>
      <c r="I3" s="23">
        <f>IFERROR(1/(1/_xlfn.MINIFS('Ad Tracker'!$V$2:$V$300,'Ad Tracker'!$K$2:$K$300,$A3,'Ad Tracker'!$V$2:$V$300,"&gt;0")),"")</f>
        <v/>
      </c>
      <c r="J3" s="11">
        <f>COUNTIFS('Ad Tracker'!$K$2:$K$300,$A3,'Ad Tracker'!$Y$2:$Y$300,"Winner")</f>
        <v/>
      </c>
    </row>
    <row r="4">
      <c r="A4" s="8" t="inlineStr">
        <is>
          <t>#3 Straight Shot</t>
        </is>
      </c>
      <c r="B4" s="11" t="inlineStr">
        <is>
          <t>1-line problem &gt; Introducing &gt; 3 rapid benefits &gt; offer &gt; CTA (&lt;75 words)</t>
        </is>
      </c>
      <c r="C4" s="11" t="inlineStr">
        <is>
          <t>Nudge, pair with #2</t>
        </is>
      </c>
      <c r="D4" s="11" t="inlineStr">
        <is>
          <t>Sell</t>
        </is>
      </c>
      <c r="E4" s="11">
        <f>COUNTIF('Ad Tracker'!$K$2:$K$300,$A4)</f>
        <v/>
      </c>
      <c r="F4" s="26">
        <f>SUMIFS('Ad Tracker'!$R$2:$R$300,'Ad Tracker'!$K$2:$K$300,$A4)</f>
        <v/>
      </c>
      <c r="G4" s="11">
        <f>SUMIFS('Ad Tracker'!$T$2:$T$300,'Ad Tracker'!$K$2:$K$300,$A4)</f>
        <v/>
      </c>
      <c r="H4" s="23">
        <f>IF(G4&gt;0,F4/G4,"")</f>
        <v/>
      </c>
      <c r="I4" s="23">
        <f>IFERROR(1/(1/_xlfn.MINIFS('Ad Tracker'!$V$2:$V$300,'Ad Tracker'!$K$2:$K$300,$A4,'Ad Tracker'!$V$2:$V$300,"&gt;0")),"")</f>
        <v/>
      </c>
      <c r="J4" s="11">
        <f>COUNTIFS('Ad Tracker'!$K$2:$K$300,$A4,'Ad Tracker'!$Y$2:$Y$300,"Winner")</f>
        <v/>
      </c>
    </row>
    <row r="5">
      <c r="A5" s="8" t="inlineStr">
        <is>
          <t>#4 Confession</t>
        </is>
      </c>
      <c r="B5" s="11" t="inlineStr">
        <is>
          <t>Honest question &gt; I was tired of &gt; So I built &gt; reframe &gt; how it feels &gt; invite &gt; CTA</t>
        </is>
      </c>
      <c r="C5" s="11" t="inlineStr">
        <is>
          <t>Founder voice, relatable</t>
        </is>
      </c>
      <c r="D5" s="11" t="inlineStr">
        <is>
          <t>Sell</t>
        </is>
      </c>
      <c r="E5" s="11">
        <f>COUNTIF('Ad Tracker'!$K$2:$K$300,$A5)</f>
        <v/>
      </c>
      <c r="F5" s="26">
        <f>SUMIFS('Ad Tracker'!$R$2:$R$300,'Ad Tracker'!$K$2:$K$300,$A5)</f>
        <v/>
      </c>
      <c r="G5" s="11">
        <f>SUMIFS('Ad Tracker'!$T$2:$T$300,'Ad Tracker'!$K$2:$K$300,$A5)</f>
        <v/>
      </c>
      <c r="H5" s="23">
        <f>IF(G5&gt;0,F5/G5,"")</f>
        <v/>
      </c>
      <c r="I5" s="23">
        <f>IFERROR(1/(1/_xlfn.MINIFS('Ad Tracker'!$V$2:$V$300,'Ad Tracker'!$K$2:$K$300,$A5,'Ad Tracker'!$V$2:$V$300,"&gt;0")),"")</f>
        <v/>
      </c>
      <c r="J5" s="11">
        <f>COUNTIFS('Ad Tracker'!$K$2:$K$300,$A5,'Ad Tracker'!$Y$2:$Y$300,"Winner")</f>
        <v/>
      </c>
    </row>
    <row r="6">
      <c r="A6" s="8" t="inlineStr">
        <is>
          <t>#5 Feature Box</t>
        </is>
      </c>
      <c r="B6" s="11" t="inlineStr">
        <is>
          <t>Frustration &gt; Introducing &gt; who + what happens &gt; 3 vivid feature bullets &gt; time/effort &gt; CTA</t>
        </is>
      </c>
      <c r="C6" s="11" t="inlineStr">
        <is>
          <t>Warm, feature-specific</t>
        </is>
      </c>
      <c r="D6" s="11" t="inlineStr">
        <is>
          <t>Sell</t>
        </is>
      </c>
      <c r="E6" s="11">
        <f>COUNTIF('Ad Tracker'!$K$2:$K$300,$A6)</f>
        <v/>
      </c>
      <c r="F6" s="26">
        <f>SUMIFS('Ad Tracker'!$R$2:$R$300,'Ad Tracker'!$K$2:$K$300,$A6)</f>
        <v/>
      </c>
      <c r="G6" s="11">
        <f>SUMIFS('Ad Tracker'!$T$2:$T$300,'Ad Tracker'!$K$2:$K$300,$A6)</f>
        <v/>
      </c>
      <c r="H6" s="23">
        <f>IF(G6&gt;0,F6/G6,"")</f>
        <v/>
      </c>
      <c r="I6" s="23">
        <f>IFERROR(1/(1/_xlfn.MINIFS('Ad Tracker'!$V$2:$V$300,'Ad Tracker'!$K$2:$K$300,$A6,'Ad Tracker'!$V$2:$V$300,"&gt;0")),"")</f>
        <v/>
      </c>
      <c r="J6" s="11">
        <f>COUNTIFS('Ad Tracker'!$K$2:$K$300,$A6,'Ad Tracker'!$Y$2:$Y$300,"Winner")</f>
        <v/>
      </c>
    </row>
    <row r="7">
      <c r="A7" s="8" t="inlineStr">
        <is>
          <t>#6 The Moment</t>
        </is>
      </c>
      <c r="B7" s="11" t="inlineStr">
        <is>
          <t>Declare the season &gt; this [season] &gt; instead of just &gt; product &gt; 3 It's lines &gt; timing &gt; CTA</t>
        </is>
      </c>
      <c r="C7" s="11" t="inlineStr">
        <is>
          <t>Holidays: Easter, New Year...</t>
        </is>
      </c>
      <c r="D7" s="11" t="inlineStr">
        <is>
          <t>Serve or Sell</t>
        </is>
      </c>
      <c r="E7" s="11">
        <f>COUNTIF('Ad Tracker'!$K$2:$K$300,$A7)</f>
        <v/>
      </c>
      <c r="F7" s="26">
        <f>SUMIFS('Ad Tracker'!$R$2:$R$300,'Ad Tracker'!$K$2:$K$300,$A7)</f>
        <v/>
      </c>
      <c r="G7" s="11">
        <f>SUMIFS('Ad Tracker'!$T$2:$T$300,'Ad Tracker'!$K$2:$K$300,$A7)</f>
        <v/>
      </c>
      <c r="H7" s="23">
        <f>IF(G7&gt;0,F7/G7,"")</f>
        <v/>
      </c>
      <c r="I7" s="23">
        <f>IFERROR(1/(1/_xlfn.MINIFS('Ad Tracker'!$V$2:$V$300,'Ad Tracker'!$K$2:$K$300,$A7,'Ad Tracker'!$V$2:$V$300,"&gt;0")),"")</f>
        <v/>
      </c>
      <c r="J7" s="11">
        <f>COUNTIFS('Ad Tracker'!$K$2:$K$300,$A7,'Ad Tracker'!$Y$2:$Y$300,"Winner")</f>
        <v/>
      </c>
    </row>
    <row r="8">
      <c r="A8" s="8" t="inlineStr">
        <is>
          <t>#7 Zoom In</t>
        </is>
      </c>
      <c r="B8" s="11" t="inlineStr">
        <is>
          <t>One tiny detail &gt; the action &gt; 3 parallel lines &gt; name it &gt; specs &gt; CTA (&lt;100 words)</t>
        </is>
      </c>
      <c r="C8" s="11" t="inlineStr">
        <is>
          <t>Close-up video / demo</t>
        </is>
      </c>
      <c r="D8" s="11" t="inlineStr">
        <is>
          <t>Sell</t>
        </is>
      </c>
      <c r="E8" s="11">
        <f>COUNTIF('Ad Tracker'!$K$2:$K$300,$A8)</f>
        <v/>
      </c>
      <c r="F8" s="26">
        <f>SUMIFS('Ad Tracker'!$R$2:$R$300,'Ad Tracker'!$K$2:$K$300,$A8)</f>
        <v/>
      </c>
      <c r="G8" s="11">
        <f>SUMIFS('Ad Tracker'!$T$2:$T$300,'Ad Tracker'!$K$2:$K$300,$A8)</f>
        <v/>
      </c>
      <c r="H8" s="23">
        <f>IF(G8&gt;0,F8/G8,"")</f>
        <v/>
      </c>
      <c r="I8" s="23">
        <f>IFERROR(1/(1/_xlfn.MINIFS('Ad Tracker'!$V$2:$V$300,'Ad Tracker'!$K$2:$K$300,$A8,'Ad Tracker'!$V$2:$V$300,"&gt;0")),"")</f>
        <v/>
      </c>
      <c r="J8" s="11">
        <f>COUNTIFS('Ad Tracker'!$K$2:$K$300,$A8,'Ad Tracker'!$Y$2:$Y$300,"Winner")</f>
        <v/>
      </c>
    </row>
    <row r="9">
      <c r="A9" s="8" t="inlineStr">
        <is>
          <t>#8 Tool Belt</t>
        </is>
      </c>
      <c r="B9" s="11" t="inlineStr">
        <is>
          <t>If you [do X] you know [hard part] &gt; This solves that &gt; what it is &gt; Built for x2 &gt; CTA (&lt;60 words)</t>
        </is>
      </c>
      <c r="C9" s="11" t="inlineStr">
        <is>
          <t>Already declares daily</t>
        </is>
      </c>
      <c r="D9" s="11" t="inlineStr">
        <is>
          <t>Sell</t>
        </is>
      </c>
      <c r="E9" s="11">
        <f>COUNTIF('Ad Tracker'!$K$2:$K$300,$A9)</f>
        <v/>
      </c>
      <c r="F9" s="26">
        <f>SUMIFS('Ad Tracker'!$R$2:$R$300,'Ad Tracker'!$K$2:$K$300,$A9)</f>
        <v/>
      </c>
      <c r="G9" s="11">
        <f>SUMIFS('Ad Tracker'!$T$2:$T$300,'Ad Tracker'!$K$2:$K$300,$A9)</f>
        <v/>
      </c>
      <c r="H9" s="23">
        <f>IF(G9&gt;0,F9/G9,"")</f>
        <v/>
      </c>
      <c r="I9" s="23">
        <f>IFERROR(1/(1/_xlfn.MINIFS('Ad Tracker'!$V$2:$V$300,'Ad Tracker'!$K$2:$K$300,$A9,'Ad Tracker'!$V$2:$V$300,"&gt;0")),"")</f>
        <v/>
      </c>
      <c r="J9" s="11">
        <f>COUNTIFS('Ad Tracker'!$K$2:$K$300,$A9,'Ad Tracker'!$Y$2:$Y$300,"Winner")</f>
        <v/>
      </c>
    </row>
    <row r="10">
      <c r="A10" s="8" t="inlineStr">
        <is>
          <t>#9 Triple Threat</t>
        </is>
      </c>
      <c r="B10" s="11" t="inlineStr">
        <is>
          <t>For A, B &amp; C who want X &gt; Imagine if &gt; Introducing &gt; 3 It's lines &gt; CTA (&lt;80 words)</t>
        </is>
      </c>
      <c r="C10" s="11" t="inlineStr">
        <is>
          <t>Wide net early in testing</t>
        </is>
      </c>
      <c r="D10" s="11" t="inlineStr">
        <is>
          <t>Sell</t>
        </is>
      </c>
      <c r="E10" s="11">
        <f>COUNTIF('Ad Tracker'!$K$2:$K$300,$A10)</f>
        <v/>
      </c>
      <c r="F10" s="26">
        <f>SUMIFS('Ad Tracker'!$R$2:$R$300,'Ad Tracker'!$K$2:$K$300,$A10)</f>
        <v/>
      </c>
      <c r="G10" s="11">
        <f>SUMIFS('Ad Tracker'!$T$2:$T$300,'Ad Tracker'!$K$2:$K$300,$A10)</f>
        <v/>
      </c>
      <c r="H10" s="23">
        <f>IF(G10&gt;0,F10/G10,"")</f>
        <v/>
      </c>
      <c r="I10" s="23">
        <f>IFERROR(1/(1/_xlfn.MINIFS('Ad Tracker'!$V$2:$V$300,'Ad Tracker'!$K$2:$K$300,$A10,'Ad Tracker'!$V$2:$V$300,"&gt;0")),"")</f>
        <v/>
      </c>
      <c r="J10" s="11">
        <f>COUNTIFS('Ad Tracker'!$K$2:$K$300,$A10,'Ad Tracker'!$Y$2:$Y$300,"Winner")</f>
        <v/>
      </c>
    </row>
    <row r="11">
      <c r="A11" s="8" t="inlineStr">
        <is>
          <t>#10 The Menu</t>
        </is>
      </c>
      <c r="B11" s="11" t="inlineStr">
        <is>
          <t>Looking for &gt; rich intro &gt; 2-3 use scenarios &gt; labeled Why-it-works bullets &gt; elevate</t>
        </is>
      </c>
      <c r="C11" s="11" t="inlineStr">
        <is>
          <t>List / how-to, carousels</t>
        </is>
      </c>
      <c r="D11" s="11" t="inlineStr">
        <is>
          <t>Serve</t>
        </is>
      </c>
      <c r="E11" s="11">
        <f>COUNTIF('Ad Tracker'!$K$2:$K$300,$A11)</f>
        <v/>
      </c>
      <c r="F11" s="26">
        <f>SUMIFS('Ad Tracker'!$R$2:$R$300,'Ad Tracker'!$K$2:$K$300,$A11)</f>
        <v/>
      </c>
      <c r="G11" s="11">
        <f>SUMIFS('Ad Tracker'!$T$2:$T$300,'Ad Tracker'!$K$2:$K$300,$A11)</f>
        <v/>
      </c>
      <c r="H11" s="23">
        <f>IF(G11&gt;0,F11/G11,"")</f>
        <v/>
      </c>
      <c r="I11" s="23">
        <f>IFERROR(1/(1/_xlfn.MINIFS('Ad Tracker'!$V$2:$V$300,'Ad Tracker'!$K$2:$K$300,$A11,'Ad Tracker'!$V$2:$V$300,"&gt;0")),"")</f>
        <v/>
      </c>
      <c r="J11" s="11">
        <f>COUNTIFS('Ad Tracker'!$K$2:$K$300,$A11,'Ad Tracker'!$Y$2:$Y$300,"Winner")</f>
        <v/>
      </c>
    </row>
    <row r="12">
      <c r="A12" s="8" t="inlineStr">
        <is>
          <t>#11 The Handoff</t>
        </is>
      </c>
      <c r="B12" s="11" t="inlineStr">
        <is>
          <t>Role: imagine &gt; product through their people &gt; what you'll love &gt; commission</t>
        </is>
      </c>
      <c r="C12" s="11" t="inlineStr">
        <is>
          <t>Parents speaking over kids, leaders</t>
        </is>
      </c>
      <c r="D12" s="11" t="inlineStr">
        <is>
          <t>Sell</t>
        </is>
      </c>
      <c r="E12" s="11">
        <f>COUNTIF('Ad Tracker'!$K$2:$K$300,$A12)</f>
        <v/>
      </c>
      <c r="F12" s="26">
        <f>SUMIFS('Ad Tracker'!$R$2:$R$300,'Ad Tracker'!$K$2:$K$300,$A12)</f>
        <v/>
      </c>
      <c r="G12" s="11">
        <f>SUMIFS('Ad Tracker'!$T$2:$T$300,'Ad Tracker'!$K$2:$K$300,$A12)</f>
        <v/>
      </c>
      <c r="H12" s="23">
        <f>IF(G12&gt;0,F12/G12,"")</f>
        <v/>
      </c>
      <c r="I12" s="23">
        <f>IFERROR(1/(1/_xlfn.MINIFS('Ad Tracker'!$V$2:$V$300,'Ad Tracker'!$K$2:$K$300,$A12,'Ad Tracker'!$V$2:$V$300,"&gt;0")),"")</f>
        <v/>
      </c>
      <c r="J12" s="11">
        <f>COUNTIFS('Ad Tracker'!$K$2:$K$300,$A12,'Ad Tracker'!$Y$2:$Y$300,"Winner")</f>
        <v/>
      </c>
    </row>
    <row r="13">
      <c r="A13" s="8" t="inlineStr">
        <is>
          <t>#12 Gut Check</t>
        </is>
      </c>
      <c r="B13" s="11" t="inlineStr">
        <is>
          <t>Question that hits a quiet worry &gt; product as bridge &gt; 3 deeper-fear bullets &gt; soft/no CTA</t>
        </is>
      </c>
      <c r="C13" s="11" t="inlineStr">
        <is>
          <t>Belief-level hooks</t>
        </is>
      </c>
      <c r="D13" s="11" t="inlineStr">
        <is>
          <t>Serve</t>
        </is>
      </c>
      <c r="E13" s="11">
        <f>COUNTIF('Ad Tracker'!$K$2:$K$300,$A13)</f>
        <v/>
      </c>
      <c r="F13" s="26">
        <f>SUMIFS('Ad Tracker'!$R$2:$R$300,'Ad Tracker'!$K$2:$K$300,$A13)</f>
        <v/>
      </c>
      <c r="G13" s="11">
        <f>SUMIFS('Ad Tracker'!$T$2:$T$300,'Ad Tracker'!$K$2:$K$300,$A13)</f>
        <v/>
      </c>
      <c r="H13" s="23">
        <f>IF(G13&gt;0,F13/G13,"")</f>
        <v/>
      </c>
      <c r="I13" s="23">
        <f>IFERROR(1/(1/_xlfn.MINIFS('Ad Tracker'!$V$2:$V$300,'Ad Tracker'!$K$2:$K$300,$A13,'Ad Tracker'!$V$2:$V$300,"&gt;0")),"")</f>
        <v/>
      </c>
      <c r="J13" s="11">
        <f>COUNTIFS('Ad Tracker'!$K$2:$K$300,$A13,'Ad Tracker'!$Y$2:$Y$300,"Winner")</f>
        <v/>
      </c>
    </row>
    <row r="14">
      <c r="A14" s="8" t="inlineStr">
        <is>
          <t>#13 Courtroom</t>
        </is>
      </c>
      <c r="B14" s="11" t="inlineStr">
        <is>
          <t>Callout &gt; earned credibility &gt; 3 differentiators &gt; 3 diverse REAL testimonials &gt; proof bar &gt; CTA</t>
        </is>
      </c>
      <c r="C14" s="11" t="inlineStr">
        <is>
          <t>Needs real reviews</t>
        </is>
      </c>
      <c r="D14" s="11" t="inlineStr">
        <is>
          <t>Sell</t>
        </is>
      </c>
      <c r="E14" s="11">
        <f>COUNTIF('Ad Tracker'!$K$2:$K$300,$A14)</f>
        <v/>
      </c>
      <c r="F14" s="26">
        <f>SUMIFS('Ad Tracker'!$R$2:$R$300,'Ad Tracker'!$K$2:$K$300,$A14)</f>
        <v/>
      </c>
      <c r="G14" s="11">
        <f>SUMIFS('Ad Tracker'!$T$2:$T$300,'Ad Tracker'!$K$2:$K$300,$A14)</f>
        <v/>
      </c>
      <c r="H14" s="23">
        <f>IF(G14&gt;0,F14/G14,"")</f>
        <v/>
      </c>
      <c r="I14" s="23">
        <f>IFERROR(1/(1/_xlfn.MINIFS('Ad Tracker'!$V$2:$V$300,'Ad Tracker'!$K$2:$K$300,$A14,'Ad Tracker'!$V$2:$V$300,"&gt;0")),"")</f>
        <v/>
      </c>
      <c r="J14" s="11">
        <f>COUNTIFS('Ad Tracker'!$K$2:$K$300,$A14,'Ad Tracker'!$Y$2:$Y$300,"Winner")</f>
        <v/>
      </c>
    </row>
    <row r="15">
      <c r="A15" s="8" t="inlineStr">
        <is>
          <t>#14 Endorsement Ladder</t>
        </is>
      </c>
      <c r="B15" s="11" t="inlineStr">
        <is>
          <t>If you're looking for... this is it &gt; mission &gt; pastor / leader / user quotes &gt; mission &gt; CTA</t>
        </is>
      </c>
      <c r="C15" s="11" t="inlineStr">
        <is>
          <t>Needs real reviews</t>
        </is>
      </c>
      <c r="D15" s="11" t="inlineStr">
        <is>
          <t>Sell</t>
        </is>
      </c>
      <c r="E15" s="11">
        <f>COUNTIF('Ad Tracker'!$K$2:$K$300,$A15)</f>
        <v/>
      </c>
      <c r="F15" s="26">
        <f>SUMIFS('Ad Tracker'!$R$2:$R$300,'Ad Tracker'!$K$2:$K$300,$A15)</f>
        <v/>
      </c>
      <c r="G15" s="11">
        <f>SUMIFS('Ad Tracker'!$T$2:$T$300,'Ad Tracker'!$K$2:$K$300,$A15)</f>
        <v/>
      </c>
      <c r="H15" s="23">
        <f>IF(G15&gt;0,F15/G15,"")</f>
        <v/>
      </c>
      <c r="I15" s="23">
        <f>IFERROR(1/(1/_xlfn.MINIFS('Ad Tracker'!$V$2:$V$300,'Ad Tracker'!$K$2:$K$300,$A15,'Ad Tracker'!$V$2:$V$300,"&gt;0")),"")</f>
        <v/>
      </c>
      <c r="J15" s="11">
        <f>COUNTIFS('Ad Tracker'!$K$2:$K$300,$A15,'Ad Tracker'!$Y$2:$Y$300,"Winner")</f>
        <v/>
      </c>
    </row>
    <row r="16">
      <c r="A16" s="8" t="inlineStr">
        <is>
          <t>#15 The Invite</t>
        </is>
      </c>
      <c r="B16" s="11" t="inlineStr">
        <is>
          <t>For [roles] &gt; Want to...? &gt; Join + friction remover &gt; 2-word CTA (&lt;50 words)</t>
        </is>
      </c>
      <c r="C16" s="11" t="inlineStr">
        <is>
          <t>7-day plan, challenges</t>
        </is>
      </c>
      <c r="D16" s="11" t="inlineStr">
        <is>
          <t>Sell</t>
        </is>
      </c>
      <c r="E16" s="11">
        <f>COUNTIF('Ad Tracker'!$K$2:$K$300,$A16)</f>
        <v/>
      </c>
      <c r="F16" s="26">
        <f>SUMIFS('Ad Tracker'!$R$2:$R$300,'Ad Tracker'!$K$2:$K$300,$A16)</f>
        <v/>
      </c>
      <c r="G16" s="11">
        <f>SUMIFS('Ad Tracker'!$T$2:$T$300,'Ad Tracker'!$K$2:$K$300,$A16)</f>
        <v/>
      </c>
      <c r="H16" s="23">
        <f>IF(G16&gt;0,F16/G16,"")</f>
        <v/>
      </c>
      <c r="I16" s="23">
        <f>IFERROR(1/(1/_xlfn.MINIFS('Ad Tracker'!$V$2:$V$300,'Ad Tracker'!$K$2:$K$300,$A16,'Ad Tracker'!$V$2:$V$300,"&gt;0")),"")</f>
        <v/>
      </c>
      <c r="J16" s="11">
        <f>COUNTIFS('Ad Tracker'!$K$2:$K$300,$A16,'Ad Tracker'!$Y$2:$Y$300,"Winner")</f>
        <v/>
      </c>
    </row>
    <row r="17">
      <c r="A17" s="8" t="inlineStr">
        <is>
          <t>Pre-framework / unknown</t>
        </is>
      </c>
      <c r="B17" s="11" t="inlineStr">
        <is>
          <t>Ads made before the Copy Vault system</t>
        </is>
      </c>
      <c r="C17" s="11" t="inlineStr"/>
      <c r="D17" s="11" t="inlineStr"/>
      <c r="E17" s="11">
        <f>COUNTIF('Ad Tracker'!$K$2:$K$300,$A17)</f>
        <v/>
      </c>
      <c r="F17" s="26">
        <f>SUMIFS('Ad Tracker'!$R$2:$R$300,'Ad Tracker'!$K$2:$K$300,$A17)</f>
        <v/>
      </c>
      <c r="G17" s="11">
        <f>SUMIFS('Ad Tracker'!$T$2:$T$300,'Ad Tracker'!$K$2:$K$300,$A17)</f>
        <v/>
      </c>
      <c r="H17" s="23">
        <f>IF(G17&gt;0,F17/G17,"")</f>
        <v/>
      </c>
      <c r="I17" s="23">
        <f>IFERROR(1/(1/_xlfn.MINIFS('Ad Tracker'!$V$2:$V$300,'Ad Tracker'!$K$2:$K$300,$A17,'Ad Tracker'!$V$2:$V$300,"&gt;0")),"")</f>
        <v/>
      </c>
      <c r="J17" s="11">
        <f>COUNTIFS('Ad Tracker'!$K$2:$K$300,$A17,'Ad Tracker'!$Y$2:$Y$300,"Winner")</f>
        <v/>
      </c>
    </row>
    <row r="19">
      <c r="A19" s="13" t="inlineStr">
        <is>
          <t>Source: The $50K Copy Vault (Marcos Torres), adapted in the faith-ad-formulas skill.</t>
        </is>
      </c>
    </row>
    <row r="20">
      <c r="A20" s="13" t="inlineStr">
        <is>
          <t>Run each formula long + short across 3-5 personas; one formula can feed 20+ ads.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  <col width="8" customWidth="1" min="4" max="4"/>
    <col width="11" customWidth="1" min="5" max="5"/>
    <col width="8" customWidth="1" min="6" max="6"/>
    <col width="13" customWidth="1" min="7" max="7"/>
    <col width="12" customWidth="1" min="8" max="8"/>
    <col width="10" customWidth="1" min="9" max="9"/>
  </cols>
  <sheetData>
    <row r="1">
      <c r="A1" s="1" t="inlineStr">
        <is>
          <t>Format</t>
        </is>
      </c>
      <c r="B1" s="1" t="inlineStr">
        <is>
          <t>What it is</t>
        </is>
      </c>
      <c r="C1" s="1" t="inlineStr">
        <is>
          <t>Notes</t>
        </is>
      </c>
      <c r="D1" s="1" t="inlineStr">
        <is>
          <t># ads</t>
        </is>
      </c>
      <c r="E1" s="1" t="inlineStr">
        <is>
          <t>Spend ($)</t>
        </is>
      </c>
      <c r="F1" s="1" t="inlineStr">
        <is>
          <t>Trials</t>
        </is>
      </c>
      <c r="G1" s="1" t="inlineStr">
        <is>
          <t>Blended cost per trial</t>
        </is>
      </c>
      <c r="H1" s="1" t="inlineStr">
        <is>
          <t>Best cost per trial</t>
        </is>
      </c>
      <c r="I1" s="1" t="inlineStr">
        <is>
          <t># winners</t>
        </is>
      </c>
    </row>
    <row r="2">
      <c r="A2" s="8" t="inlineStr">
        <is>
          <t>Native slideshow (carousel)</t>
        </is>
      </c>
      <c r="B2" s="11" t="inlineStr">
        <is>
          <t>Lowercase organic caption, 'step N... save this', 5-7 slides</t>
        </is>
      </c>
      <c r="C2" s="11" t="inlineStr">
        <is>
          <t>Best CPT on the account ($24).</t>
        </is>
      </c>
      <c r="D2" s="11">
        <f>COUNTIF('Ad Tracker'!$L$2:$L$300,$A2)</f>
        <v/>
      </c>
      <c r="E2" s="26">
        <f>SUMIFS('Ad Tracker'!$R$2:$R$300,'Ad Tracker'!$L$2:$L$300,$A2)</f>
        <v/>
      </c>
      <c r="F2" s="11">
        <f>SUMIFS('Ad Tracker'!$T$2:$T$300,'Ad Tracker'!$L$2:$L$300,$A2)</f>
        <v/>
      </c>
      <c r="G2" s="23">
        <f>IF(F2&gt;0,E2/F2,"")</f>
        <v/>
      </c>
      <c r="H2" s="23">
        <f>IFERROR(1/(1/_xlfn.MINIFS('Ad Tracker'!$V$2:$V$300,'Ad Tracker'!$L$2:$L$300,$A2,'Ad Tracker'!$V$2:$V$300,"&gt;0")),"")</f>
        <v/>
      </c>
      <c r="I2" s="11">
        <f>COUNTIFS('Ad Tracker'!$L$2:$L$300,$A2,'Ad Tracker'!$Y$2:$Y$300,"Winner")</f>
        <v/>
      </c>
    </row>
    <row r="3">
      <c r="A3" s="8" t="inlineStr">
        <is>
          <t>Video: b-roll + VO</t>
        </is>
      </c>
      <c r="B3" s="11" t="inlineStr">
        <is>
          <t>Higgsfield stills &gt; Kling clips &gt; Romy VO &gt; PIL captions &gt; end card</t>
        </is>
      </c>
      <c r="C3" s="11" t="inlineStr">
        <is>
          <t>V1/V2 testing from 2026-10-01.</t>
        </is>
      </c>
      <c r="D3" s="11">
        <f>COUNTIF('Ad Tracker'!$L$2:$L$300,$A3)</f>
        <v/>
      </c>
      <c r="E3" s="26">
        <f>SUMIFS('Ad Tracker'!$R$2:$R$300,'Ad Tracker'!$L$2:$L$300,$A3)</f>
        <v/>
      </c>
      <c r="F3" s="11">
        <f>SUMIFS('Ad Tracker'!$T$2:$T$300,'Ad Tracker'!$L$2:$L$300,$A3)</f>
        <v/>
      </c>
      <c r="G3" s="23">
        <f>IF(F3&gt;0,E3/F3,"")</f>
        <v/>
      </c>
      <c r="H3" s="23">
        <f>IFERROR(1/(1/_xlfn.MINIFS('Ad Tracker'!$V$2:$V$300,'Ad Tracker'!$L$2:$L$300,$A3,'Ad Tracker'!$V$2:$V$300,"&gt;0")),"")</f>
        <v/>
      </c>
      <c r="I3" s="11">
        <f>COUNTIFS('Ad Tracker'!$L$2:$L$300,$A3,'Ad Tracker'!$Y$2:$Y$300,"Winner")</f>
        <v/>
      </c>
    </row>
    <row r="4">
      <c r="A4" s="8" t="inlineStr">
        <is>
          <t>Video: UGC</t>
        </is>
      </c>
      <c r="B4" s="11" t="inlineStr">
        <is>
          <t>Real creator or AI talking head</t>
        </is>
      </c>
      <c r="C4" s="11" t="inlineStr">
        <is>
          <t>Real-ish UGC $45; AI UGC lost ($83).</t>
        </is>
      </c>
      <c r="D4" s="11">
        <f>COUNTIF('Ad Tracker'!$L$2:$L$300,$A4)</f>
        <v/>
      </c>
      <c r="E4" s="26">
        <f>SUMIFS('Ad Tracker'!$R$2:$R$300,'Ad Tracker'!$L$2:$L$300,$A4)</f>
        <v/>
      </c>
      <c r="F4" s="11">
        <f>SUMIFS('Ad Tracker'!$T$2:$T$300,'Ad Tracker'!$L$2:$L$300,$A4)</f>
        <v/>
      </c>
      <c r="G4" s="23">
        <f>IF(F4&gt;0,E4/F4,"")</f>
        <v/>
      </c>
      <c r="H4" s="23">
        <f>IFERROR(1/(1/_xlfn.MINIFS('Ad Tracker'!$V$2:$V$300,'Ad Tracker'!$L$2:$L$300,$A4,'Ad Tracker'!$V$2:$V$300,"&gt;0")),"")</f>
        <v/>
      </c>
      <c r="I4" s="11">
        <f>COUNTIFS('Ad Tracker'!$L$2:$L$300,$A4,'Ad Tracker'!$Y$2:$Y$300,"Winner")</f>
        <v/>
      </c>
    </row>
    <row r="5">
      <c r="A5" s="8" t="inlineStr">
        <is>
          <t>Static + long copy</t>
        </is>
      </c>
      <c r="B5" s="11" t="inlineStr">
        <is>
          <t>Image + 150-300 word primary text</t>
        </is>
      </c>
      <c r="C5" s="11" t="inlineStr">
        <is>
          <t>High CTR, middling CPT.</t>
        </is>
      </c>
      <c r="D5" s="11">
        <f>COUNTIF('Ad Tracker'!$L$2:$L$300,$A5)</f>
        <v/>
      </c>
      <c r="E5" s="26">
        <f>SUMIFS('Ad Tracker'!$R$2:$R$300,'Ad Tracker'!$L$2:$L$300,$A5)</f>
        <v/>
      </c>
      <c r="F5" s="11">
        <f>SUMIFS('Ad Tracker'!$T$2:$T$300,'Ad Tracker'!$L$2:$L$300,$A5)</f>
        <v/>
      </c>
      <c r="G5" s="23">
        <f>IF(F5&gt;0,E5/F5,"")</f>
        <v/>
      </c>
      <c r="H5" s="23">
        <f>IFERROR(1/(1/_xlfn.MINIFS('Ad Tracker'!$V$2:$V$300,'Ad Tracker'!$L$2:$L$300,$A5,'Ad Tracker'!$V$2:$V$300,"&gt;0")),"")</f>
        <v/>
      </c>
      <c r="I5" s="11">
        <f>COUNTIFS('Ad Tracker'!$L$2:$L$300,$A5,'Ad Tracker'!$Y$2:$Y$300,"Winner")</f>
        <v/>
      </c>
    </row>
    <row r="6">
      <c r="A6" s="8" t="inlineStr">
        <is>
          <t>Static + short copy</t>
        </is>
      </c>
      <c r="B6" s="11" t="inlineStr">
        <is>
          <t>Image + 1-4 line primary text</t>
        </is>
      </c>
      <c r="C6" s="11" t="inlineStr">
        <is>
          <t>Rewire = volume winner.</t>
        </is>
      </c>
      <c r="D6" s="11">
        <f>COUNTIF('Ad Tracker'!$L$2:$L$300,$A6)</f>
        <v/>
      </c>
      <c r="E6" s="26">
        <f>SUMIFS('Ad Tracker'!$R$2:$R$300,'Ad Tracker'!$L$2:$L$300,$A6)</f>
        <v/>
      </c>
      <c r="F6" s="11">
        <f>SUMIFS('Ad Tracker'!$T$2:$T$300,'Ad Tracker'!$L$2:$L$300,$A6)</f>
        <v/>
      </c>
      <c r="G6" s="23">
        <f>IF(F6&gt;0,E6/F6,"")</f>
        <v/>
      </c>
      <c r="H6" s="23">
        <f>IFERROR(1/(1/_xlfn.MINIFS('Ad Tracker'!$V$2:$V$300,'Ad Tracker'!$L$2:$L$300,$A6,'Ad Tracker'!$V$2:$V$300,"&gt;0")),"")</f>
        <v/>
      </c>
      <c r="I6" s="11">
        <f>COUNTIFS('Ad Tracker'!$L$2:$L$300,$A6,'Ad Tracker'!$Y$2:$Y$300,"Winner")</f>
        <v/>
      </c>
    </row>
    <row r="7">
      <c r="A7" s="8" t="inlineStr">
        <is>
          <t>Text-only</t>
        </is>
      </c>
      <c r="B7" s="11" t="inlineStr">
        <is>
          <t>Text card ad</t>
        </is>
      </c>
      <c r="C7" s="11" t="inlineStr">
        <is>
          <t>Lost on anxiety framing.</t>
        </is>
      </c>
      <c r="D7" s="11">
        <f>COUNTIF('Ad Tracker'!$L$2:$L$300,$A7)</f>
        <v/>
      </c>
      <c r="E7" s="26">
        <f>SUMIFS('Ad Tracker'!$R$2:$R$300,'Ad Tracker'!$L$2:$L$300,$A7)</f>
        <v/>
      </c>
      <c r="F7" s="11">
        <f>SUMIFS('Ad Tracker'!$T$2:$T$300,'Ad Tracker'!$L$2:$L$300,$A7)</f>
        <v/>
      </c>
      <c r="G7" s="23">
        <f>IF(F7&gt;0,E7/F7,"")</f>
        <v/>
      </c>
      <c r="H7" s="23">
        <f>IFERROR(1/(1/_xlfn.MINIFS('Ad Tracker'!$V$2:$V$300,'Ad Tracker'!$L$2:$L$300,$A7,'Ad Tracker'!$V$2:$V$300,"&gt;0")),"")</f>
        <v/>
      </c>
      <c r="I7" s="11">
        <f>COUNTIFS('Ad Tracker'!$L$2:$L$300,$A7,'Ad Tracker'!$Y$2:$Y$300,"Winner")</f>
        <v/>
      </c>
    </row>
    <row r="8">
      <c r="A8" s="8" t="inlineStr">
        <is>
          <t>App demo</t>
        </is>
      </c>
      <c r="B8" s="11" t="inlineStr">
        <is>
          <t>Screen recording of the app</t>
        </is>
      </c>
      <c r="C8" s="11" t="inlineStr">
        <is>
          <t>For warm/high-intent; see demo-ad-copy skill.</t>
        </is>
      </c>
      <c r="D8" s="11">
        <f>COUNTIF('Ad Tracker'!$L$2:$L$300,$A8)</f>
        <v/>
      </c>
      <c r="E8" s="26">
        <f>SUMIFS('Ad Tracker'!$R$2:$R$300,'Ad Tracker'!$L$2:$L$300,$A8)</f>
        <v/>
      </c>
      <c r="F8" s="11">
        <f>SUMIFS('Ad Tracker'!$T$2:$T$300,'Ad Tracker'!$L$2:$L$300,$A8)</f>
        <v/>
      </c>
      <c r="G8" s="23">
        <f>IF(F8&gt;0,E8/F8,"")</f>
        <v/>
      </c>
      <c r="H8" s="23">
        <f>IFERROR(1/(1/_xlfn.MINIFS('Ad Tracker'!$V$2:$V$300,'Ad Tracker'!$L$2:$L$300,$A8,'Ad Tracker'!$V$2:$V$300,"&gt;0")),"")</f>
        <v/>
      </c>
      <c r="I8" s="11">
        <f>COUNTIFS('Ad Tracker'!$L$2:$L$300,$A8,'Ad Tracker'!$Y$2:$Y$300,"Winner")</f>
        <v/>
      </c>
    </row>
    <row r="10">
      <c r="A10" s="13" t="inlineStr">
        <is>
          <t>Faith-Scale: test 10-20 genuinely different creatives per round; vary format, not just words.</t>
        </is>
      </c>
    </row>
    <row r="11">
      <c r="A11" s="13" t="inlineStr">
        <is>
          <t>Make it not look like an ad: serve before you sell.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18" customWidth="1" min="4" max="4"/>
    <col width="10" customWidth="1" min="5" max="5"/>
    <col width="24" customWidth="1" min="6" max="6"/>
    <col width="12" customWidth="1" min="7" max="7"/>
    <col width="40" customWidth="1" min="8" max="8"/>
  </cols>
  <sheetData>
    <row r="1">
      <c r="A1" s="14" t="inlineStr">
        <is>
          <t>Hook</t>
        </is>
      </c>
      <c r="B1" s="14" t="inlineStr">
        <is>
          <t>Angle</t>
        </is>
      </c>
      <c r="C1" s="14" t="inlineStr">
        <is>
          <t>Persona</t>
        </is>
      </c>
      <c r="D1" s="14" t="inlineStr">
        <is>
          <t>Formula</t>
        </is>
      </c>
      <c r="E1" s="14" t="inlineStr">
        <is>
          <t>Serve / Sell</t>
        </is>
      </c>
      <c r="F1" s="14" t="inlineStr">
        <is>
          <t>Format idea</t>
        </is>
      </c>
      <c r="G1" s="14" t="inlineStr">
        <is>
          <t>Status</t>
        </is>
      </c>
      <c r="H1" s="14" t="inlineStr">
        <is>
          <t>Source / note</t>
        </is>
      </c>
    </row>
    <row r="2">
      <c r="A2" s="2" t="inlineStr">
        <is>
          <t>you can't fight a thought silently and win.</t>
        </is>
      </c>
      <c r="B2" s="2" t="inlineStr">
        <is>
          <t>Mind / thoughts (renewal)</t>
        </is>
      </c>
      <c r="C2" s="2" t="inlineStr">
        <is>
          <t>3am overthinker</t>
        </is>
      </c>
      <c r="D2" s="2" t="inlineStr">
        <is>
          <t>#3 Straight Shot</t>
        </is>
      </c>
      <c r="E2" s="2" t="inlineStr">
        <is>
          <t>Serve</t>
        </is>
      </c>
      <c r="F2" s="2" t="inlineStr">
        <is>
          <t>Native slideshow (carousel)</t>
        </is>
      </c>
      <c r="G2" s="2" t="inlineStr">
        <is>
          <t>Shipped</t>
        </is>
      </c>
      <c r="H2" s="2" t="inlineStr">
        <is>
          <t>Carousel + V1 video</t>
        </is>
      </c>
    </row>
    <row r="3">
      <c r="A3" s="2" t="inlineStr">
        <is>
          <t>renewing your mind sounds vague until you have real steps.</t>
        </is>
      </c>
      <c r="B3" s="2" t="inlineStr">
        <is>
          <t>Mind / thoughts (renewal)</t>
        </is>
      </c>
      <c r="C3" s="2" t="inlineStr">
        <is>
          <t>Wants real steps</t>
        </is>
      </c>
      <c r="D3" s="2" t="inlineStr">
        <is>
          <t>#10 The Menu</t>
        </is>
      </c>
      <c r="E3" s="2" t="inlineStr">
        <is>
          <t>Serve</t>
        </is>
      </c>
      <c r="F3" s="2" t="inlineStr">
        <is>
          <t>Native slideshow (carousel)</t>
        </is>
      </c>
      <c r="G3" s="2" t="inlineStr">
        <is>
          <t>Shipped</t>
        </is>
      </c>
      <c r="H3" s="2" t="inlineStr">
        <is>
          <t>Carousel + V2 video</t>
        </is>
      </c>
    </row>
  </sheetData>
  <dataValidations count="5">
    <dataValidation sqref="B2:B300" showDropDown="0" showInputMessage="0" showErrorMessage="0" allowBlank="1" type="list">
      <formula1>=Lists!$E$2:$E$31</formula1>
    </dataValidation>
    <dataValidation sqref="D2:D300" showDropDown="0" showInputMessage="0" showErrorMessage="0" allowBlank="1" type="list">
      <formula1>=Lists!$F$2:$F$17</formula1>
    </dataValidation>
    <dataValidation sqref="E2:E300" showDropDown="0" showInputMessage="0" showErrorMessage="0" allowBlank="1" type="list">
      <formula1>=Lists!$B$2:$B$3</formula1>
    </dataValidation>
    <dataValidation sqref="F2:F300" showDropDown="0" showInputMessage="0" showErrorMessage="0" allowBlank="1" type="list">
      <formula1>=Lists!$C$2:$C$8</formula1>
    </dataValidation>
    <dataValidation sqref="G2:G300" showDropDown="0" showInputMessage="0" showErrorMessage="0" allowBlank="1" type="list">
      <formula1>"Untested,Briefed,Shipped,Retired"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0" customWidth="1" min="3" max="3"/>
  </cols>
  <sheetData>
    <row r="1">
      <c r="A1" s="15" t="inlineStr">
        <is>
          <t>SpeakLife Ad Tracker: settings &amp; legend</t>
        </is>
      </c>
    </row>
    <row r="3">
      <c r="A3" s="16" t="inlineStr">
        <is>
          <t>Setting</t>
        </is>
      </c>
      <c r="B3" s="16" t="inlineStr">
        <is>
          <t>Value</t>
        </is>
      </c>
      <c r="C3" s="16" t="inlineStr">
        <is>
          <t>Note / source</t>
        </is>
      </c>
    </row>
    <row r="4">
      <c r="A4" s="17" t="inlineStr">
        <is>
          <t>Target cost per trial ($)</t>
        </is>
      </c>
      <c r="B4" s="27" t="n">
        <v>30</v>
      </c>
      <c r="C4" s="17" t="inlineStr">
        <is>
          <t>From history: best ads $24-26, volume winners $34-36 (account 253451158661796). Replace with your own target.</t>
        </is>
      </c>
    </row>
    <row r="5">
      <c r="A5" s="17" t="inlineStr">
        <is>
          <t>Watch band (x target)</t>
        </is>
      </c>
      <c r="B5" s="28" t="n">
        <v>1.5</v>
      </c>
      <c r="C5" s="17" t="inlineStr">
        <is>
          <t>Ads between target and target x this are 'Watch'; above it are 'Kill'. Faith-Scale guidance.</t>
        </is>
      </c>
    </row>
    <row r="6">
      <c r="A6" s="17" t="inlineStr">
        <is>
          <t>Min spend to judge (x target)</t>
        </is>
      </c>
      <c r="B6" s="28" t="n">
        <v>2</v>
      </c>
      <c r="C6" s="17" t="inlineStr">
        <is>
          <t>Faith-Scale: don't judge an ad until it has spent at least 2x the target cost.</t>
        </is>
      </c>
    </row>
    <row r="7">
      <c r="A7" s="17" t="inlineStr">
        <is>
          <t>Min days running</t>
        </is>
      </c>
      <c r="B7" s="20" t="n">
        <v>7</v>
      </c>
      <c r="C7" s="17" t="inlineStr">
        <is>
          <t>Faith-Scale: run tests 7-14 days before judging.</t>
        </is>
      </c>
    </row>
    <row r="10">
      <c r="A10" s="21" t="inlineStr">
        <is>
          <t>HOW TO USE</t>
        </is>
      </c>
    </row>
    <row r="11">
      <c r="A11" s="17" t="inlineStr">
        <is>
          <t>Yellow cells = you (or Claude) type here. White cells with black text = formulas, don't overwrite.</t>
        </is>
      </c>
    </row>
    <row r="12">
      <c r="A12" s="17" t="inlineStr">
        <is>
          <t>Blue text = hard-coded inputs (numbers pulled from Meta or set by you).</t>
        </is>
      </c>
    </row>
    <row r="13">
      <c r="A13" s="17" t="inlineStr">
        <is>
          <t>Ad Tracker: one row per ad. Fill Spend / Installs / Trials / CTR from Ads Manager each week; Cost per trial and Verdict calculate.</t>
        </is>
      </c>
    </row>
    <row r="14">
      <c r="A14" s="17" t="inlineStr">
        <is>
          <t>Verdict: Testing (not enough spend yet) &gt; Winner (CPT &lt;= target) &gt; Watch (CPT &lt;= target x watch band) &gt; Kill.</t>
        </is>
      </c>
    </row>
    <row r="15">
      <c r="A15" s="17" t="inlineStr">
        <is>
          <t>Always fill 'Why it won/lost' with a reusable lesson (hook? first 3s? persona? format?), not just 'it won'.</t>
        </is>
      </c>
    </row>
    <row r="16">
      <c r="A16" s="17" t="inlineStr">
        <is>
          <t>Angles / Formulas / Formats tabs summarize automatically from the Ad Tracker rows.</t>
        </is>
      </c>
    </row>
    <row r="17">
      <c r="A17" s="17" t="inlineStr">
        <is>
          <t>Hooks Bank: park untested hooks here; move them into the Ad Tracker when they ship.</t>
        </is>
      </c>
    </row>
    <row r="18">
      <c r="A18" s="17" t="inlineStr">
        <is>
          <t>Ads tracked from campaign SL Scale | Mind winners (Oct 2026), account 253451158661796, trials = start_trial_mobile_app. Past results live in docs/creative/LEARNINGS.md.</t>
        </is>
      </c>
    </row>
    <row r="19">
      <c r="A19" s="17" t="inlineStr">
        <is>
          <t>Source docs: HIVE Faith-Scale Framework, The $50K Copy Vault, Build Your Creative Engine, 'serve don't sell' email (Marcos Torres).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6" t="inlineStr">
        <is>
          <t>Status</t>
        </is>
      </c>
      <c r="B1" s="16" t="inlineStr">
        <is>
          <t>Serve/Sell</t>
        </is>
      </c>
      <c r="C1" s="16" t="inlineStr">
        <is>
          <t>Format</t>
        </is>
      </c>
      <c r="D1" s="16" t="inlineStr">
        <is>
          <t>Frame</t>
        </is>
      </c>
      <c r="E1" s="16" t="inlineStr">
        <is>
          <t>Angle</t>
        </is>
      </c>
      <c r="F1" s="16" t="inlineStr">
        <is>
          <t>Formula</t>
        </is>
      </c>
    </row>
    <row r="2">
      <c r="A2" s="17" t="inlineStr">
        <is>
          <t>Live</t>
        </is>
      </c>
      <c r="B2" s="17" t="inlineStr">
        <is>
          <t>Serve</t>
        </is>
      </c>
      <c r="C2" s="17" t="inlineStr">
        <is>
          <t>Native slideshow (carousel)</t>
        </is>
      </c>
      <c r="D2" s="17" t="inlineStr">
        <is>
          <t>Promises</t>
        </is>
      </c>
      <c r="E2" s="17" t="inlineStr">
        <is>
          <t>Mind / thoughts (renewal)</t>
        </is>
      </c>
      <c r="F2" s="17" t="inlineStr">
        <is>
          <t>#1 Revival Reel</t>
        </is>
      </c>
    </row>
    <row r="3">
      <c r="A3" s="17" t="inlineStr">
        <is>
          <t>Paused</t>
        </is>
      </c>
      <c r="B3" s="17" t="inlineStr">
        <is>
          <t>Sell</t>
        </is>
      </c>
      <c r="C3" s="17" t="inlineStr">
        <is>
          <t>Video: b-roll + VO</t>
        </is>
      </c>
      <c r="D3" s="17" t="inlineStr">
        <is>
          <t>Storm</t>
        </is>
      </c>
      <c r="E3" s="17" t="inlineStr">
        <is>
          <t>Fear &amp; anxiety</t>
        </is>
      </c>
      <c r="F3" s="17" t="inlineStr">
        <is>
          <t>#2 Third Door</t>
        </is>
      </c>
    </row>
    <row r="4">
      <c r="A4" s="17" t="inlineStr">
        <is>
          <t>Draft</t>
        </is>
      </c>
      <c r="C4" s="17" t="inlineStr">
        <is>
          <t>Video: UGC</t>
        </is>
      </c>
      <c r="D4" s="17" t="inlineStr">
        <is>
          <t>Angle arm</t>
        </is>
      </c>
      <c r="E4" s="17" t="inlineStr">
        <is>
          <t>Promises / trust</t>
        </is>
      </c>
      <c r="F4" s="17" t="inlineStr">
        <is>
          <t>#3 Straight Shot</t>
        </is>
      </c>
    </row>
    <row r="5">
      <c r="A5" s="17" t="inlineStr">
        <is>
          <t>Off</t>
        </is>
      </c>
      <c r="C5" s="17" t="inlineStr">
        <is>
          <t>Static + long copy</t>
        </is>
      </c>
      <c r="D5" s="17" t="inlineStr">
        <is>
          <t>n/a</t>
        </is>
      </c>
      <c r="E5" s="17" t="inlineStr">
        <is>
          <t>Authority / speak to it</t>
        </is>
      </c>
      <c r="F5" s="17" t="inlineStr">
        <is>
          <t>#4 Confession</t>
        </is>
      </c>
    </row>
    <row r="6">
      <c r="A6" s="17" t="inlineStr">
        <is>
          <t>Archived</t>
        </is>
      </c>
      <c r="C6" s="17" t="inlineStr">
        <is>
          <t>Static + short copy</t>
        </is>
      </c>
      <c r="E6" s="17" t="inlineStr">
        <is>
          <t>Identity</t>
        </is>
      </c>
      <c r="F6" s="17" t="inlineStr">
        <is>
          <t>#5 Feature Box</t>
        </is>
      </c>
    </row>
    <row r="7">
      <c r="C7" s="17" t="inlineStr">
        <is>
          <t>Text-only</t>
        </is>
      </c>
      <c r="E7" s="17" t="inlineStr">
        <is>
          <t>Health / healing</t>
        </is>
      </c>
      <c r="F7" s="17" t="inlineStr">
        <is>
          <t>#6 The Moment</t>
        </is>
      </c>
    </row>
    <row r="8">
      <c r="C8" s="17" t="inlineStr">
        <is>
          <t>App demo</t>
        </is>
      </c>
      <c r="E8" s="17" t="inlineStr">
        <is>
          <t>Provision</t>
        </is>
      </c>
      <c r="F8" s="17" t="inlineStr">
        <is>
          <t>#7 Zoom In</t>
        </is>
      </c>
    </row>
    <row r="9">
      <c r="E9" s="17" t="inlineStr">
        <is>
          <t>Grief</t>
        </is>
      </c>
      <c r="F9" s="17" t="inlineStr">
        <is>
          <t>#8 Tool Belt</t>
        </is>
      </c>
    </row>
    <row r="10">
      <c r="E10" s="17" t="inlineStr">
        <is>
          <t>Marriage</t>
        </is>
      </c>
      <c r="F10" s="17" t="inlineStr">
        <is>
          <t>#9 Triple Threat</t>
        </is>
      </c>
    </row>
    <row r="11">
      <c r="E11" s="17" t="inlineStr">
        <is>
          <t>Parenting</t>
        </is>
      </c>
      <c r="F11" s="17" t="inlineStr">
        <is>
          <t>#10 The Menu</t>
        </is>
      </c>
    </row>
    <row r="12">
      <c r="E12" s="17" t="inlineStr">
        <is>
          <t>Prodigal</t>
        </is>
      </c>
      <c r="F12" s="17" t="inlineStr">
        <is>
          <t>#11 The Handoff</t>
        </is>
      </c>
    </row>
    <row r="13">
      <c r="E13" s="17" t="inlineStr">
        <is>
          <t>Purity</t>
        </is>
      </c>
      <c r="F13" s="17" t="inlineStr">
        <is>
          <t>#12 Gut Check</t>
        </is>
      </c>
    </row>
    <row r="14">
      <c r="E14" s="17" t="inlineStr">
        <is>
          <t>Addiction</t>
        </is>
      </c>
      <c r="F14" s="17" t="inlineStr">
        <is>
          <t>#13 Courtroom</t>
        </is>
      </c>
    </row>
    <row r="15">
      <c r="E15" s="17" t="inlineStr">
        <is>
          <t>Hard times</t>
        </is>
      </c>
      <c r="F15" s="17" t="inlineStr">
        <is>
          <t>#14 Endorsement Ladder</t>
        </is>
      </c>
    </row>
    <row r="16">
      <c r="E16" s="17" t="inlineStr">
        <is>
          <t>Consistency / habit</t>
        </is>
      </c>
      <c r="F16" s="17" t="inlineStr">
        <is>
          <t>#15 The Invite</t>
        </is>
      </c>
    </row>
    <row r="17">
      <c r="E17" s="17" t="inlineStr">
        <is>
          <t>Prayer how-to</t>
        </is>
      </c>
      <c r="F17" s="17" t="inlineStr">
        <is>
          <t>Pre-framework / unknown</t>
        </is>
      </c>
    </row>
    <row r="18">
      <c r="E18" s="17" t="inlineStr">
        <is>
          <t>Product / feature</t>
        </is>
      </c>
    </row>
    <row r="19">
      <c r="E19" s="17" t="inlineStr">
        <is>
          <t>Protection</t>
        </is>
      </c>
    </row>
    <row r="20">
      <c r="E20" s="17" t="inlineStr">
        <is>
          <t>Sleep &amp; rest</t>
        </is>
      </c>
    </row>
    <row r="21">
      <c r="E21" s="17" t="inlineStr">
        <is>
          <t>Growing older</t>
        </is>
      </c>
    </row>
    <row r="22">
      <c r="E22" s="17" t="inlineStr">
        <is>
          <t>Children &amp; grandchildren</t>
        </is>
      </c>
    </row>
    <row r="23">
      <c r="E23" s="17" t="inlineStr">
        <is>
          <t>Strength when weary</t>
        </is>
      </c>
    </row>
    <row r="24">
      <c r="E24" s="17" t="inlineStr">
        <is>
          <t>Waiting on a promise</t>
        </is>
      </c>
    </row>
    <row r="25">
      <c r="E25" s="17" t="inlineStr">
        <is>
          <t>Guidance &amp; decisions</t>
        </is>
      </c>
    </row>
    <row r="26">
      <c r="E26" s="17" t="inlineStr">
        <is>
          <t>Not alone</t>
        </is>
      </c>
    </row>
    <row r="27">
      <c r="E27" s="17" t="inlineStr">
        <is>
          <t>Shame &amp; the past</t>
        </is>
      </c>
    </row>
    <row r="28">
      <c r="E28" s="17" t="inlineStr">
        <is>
          <t>Work &amp; purpose</t>
        </is>
      </c>
    </row>
    <row r="29">
      <c r="E29" s="17" t="inlineStr">
        <is>
          <t>Joy after a hard season</t>
        </is>
      </c>
    </row>
    <row r="30">
      <c r="E30" s="17" t="inlineStr">
        <is>
          <t>Freedom</t>
        </is>
      </c>
    </row>
    <row r="31">
      <c r="E31" s="17" t="inlineStr">
        <is>
          <t>Losing a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2026-10-01T14:16:36Z</dcterms:created>
  <dcterms:modified xsi:type="dcterms:W3CDTF">2026-10-03T14:44:15Z</dcterms:modified>
</cp:coreProperties>
</file>